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128" windowHeight="9000"/>
  </bookViews>
  <sheets>
    <sheet name="Cover" sheetId="1" r:id="rId1"/>
    <sheet name="Account Management" sheetId="2" r:id="rId2"/>
    <sheet name="Booking" sheetId="3" r:id="rId3"/>
    <sheet name="Payment" sheetId="4" r:id="rId4"/>
    <sheet name="Cancellation" sheetId="5" r:id="rId5"/>
    <sheet name="Test Report" sheetId="6" r:id="rId6"/>
  </sheets>
  <externalReferences>
    <externalReference r:id="rId7"/>
  </externalReferences>
  <definedNames>
    <definedName name="Access">[1]Validation!$E$2:$E$223</definedName>
    <definedName name="AccessCircuit">[1]Validation!$C$2:$C$29</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<sst xmlns="http://schemas.openxmlformats.org/spreadsheetml/2006/main" count="281" uniqueCount="167">
  <si>
    <t>TEST CASE</t>
  </si>
  <si>
    <t>Version:</t>
  </si>
  <si>
    <t>Issue date:</t>
  </si>
  <si>
    <t>Project Name:</t>
  </si>
  <si>
    <t>MovieBookingApp</t>
  </si>
  <si>
    <t>Project Code:</t>
  </si>
  <si>
    <t>UTEHY-SE01</t>
  </si>
  <si>
    <t>Record of change:</t>
  </si>
  <si>
    <t>Effective Date</t>
  </si>
  <si>
    <t>Version</t>
  </si>
  <si>
    <t>Change location</t>
  </si>
  <si>
    <t>Change description</t>
  </si>
  <si>
    <t>Originator</t>
  </si>
  <si>
    <t>Reviewer/
Approver</t>
  </si>
  <si>
    <t>Reference</t>
  </si>
  <si>
    <t>1.1</t>
  </si>
  <si>
    <t>Update testcase</t>
  </si>
  <si>
    <t>Nguyễn Phương Quyên</t>
  </si>
  <si>
    <t>Hồ Văn Đạt</t>
  </si>
  <si>
    <t>CR236 "Export all carrier choices"</t>
  </si>
  <si>
    <r>
      <rPr>
        <b/>
        <sz val="10"/>
        <color theme="1"/>
        <rFont val="Tahoma"/>
        <charset val="134"/>
      </rPr>
      <t>System Name</t>
    </r>
    <r>
      <rPr>
        <b/>
        <sz val="10"/>
        <color theme="1"/>
        <rFont val="ＭＳ Ｐゴシック"/>
        <charset val="134"/>
      </rPr>
      <t>：</t>
    </r>
  </si>
  <si>
    <r>
      <rPr>
        <b/>
        <sz val="10"/>
        <color theme="1"/>
        <rFont val="Tahoma"/>
        <charset val="134"/>
      </rPr>
      <t>Module Code</t>
    </r>
    <r>
      <rPr>
        <b/>
        <sz val="10"/>
        <color theme="1"/>
        <rFont val="MS Gothic"/>
        <charset val="134"/>
      </rPr>
      <t>：</t>
    </r>
  </si>
  <si>
    <t>CR100 - Export to excel</t>
  </si>
  <si>
    <t>Test requirement:</t>
  </si>
  <si>
    <t xml:space="preserve">CR1 - </t>
  </si>
  <si>
    <t>Pass</t>
  </si>
  <si>
    <t>Pending</t>
  </si>
  <si>
    <t>Fail</t>
  </si>
  <si>
    <t>Number of test cases:</t>
  </si>
  <si>
    <t>ID</t>
  </si>
  <si>
    <t>Test Case Description</t>
  </si>
  <si>
    <t>Test Case Procedure</t>
  </si>
  <si>
    <t>Expected Results</t>
  </si>
  <si>
    <t>Actual Results</t>
  </si>
  <si>
    <t>Test date</t>
  </si>
  <si>
    <t>Status</t>
  </si>
  <si>
    <t>Note</t>
  </si>
  <si>
    <t>1. Đăng ký</t>
  </si>
  <si>
    <t>TC1</t>
  </si>
  <si>
    <t>Đăng ký tài khoản thành công với đầy đủ thông tin hợp lệ</t>
  </si>
  <si>
    <t>1: Nhấn vào nút đăng ký 
2: Nhập thông tin tên đăng nhập: vandat
3: Nhập địa chỉ email: testuser@gmail.com
4: Nhập vào ô mật khẩu: Aa@123456
5: Nhập vào ô nhập lại mật khẩu: Aa@123456</t>
  </si>
  <si>
    <t>1: Hiển thị thông báo đăng ký thành công
2: Chuyển hướng người dùng sang trang đăng nhập
3: Lưu dữ liệu tài khoản mới vào DB</t>
  </si>
  <si>
    <t>2. Đăng nhập</t>
  </si>
  <si>
    <t>TC2</t>
  </si>
  <si>
    <r>
      <rPr>
        <sz val="10"/>
        <color rgb="FF000000"/>
        <rFont val="Tahoma"/>
        <charset val="134"/>
      </rPr>
      <t xml:space="preserve">Checking new function is added in </t>
    </r>
    <r>
      <rPr>
        <b/>
        <sz val="10"/>
        <color rgb="FF000000"/>
        <rFont val="Tahoma"/>
        <charset val="134"/>
      </rPr>
      <t>Classic or Current Mode</t>
    </r>
  </si>
  <si>
    <t>1: Go to the system TestProEngine with Classic or Current  Mode that has to set role "CanExportAllCarrierChoices"
2: Submit for the quote 
3: Open the quote at the home
4: Go to Quick Links</t>
  </si>
  <si>
    <r>
      <rPr>
        <b/>
        <sz val="10"/>
        <color rgb="FF000000"/>
        <rFont val="Tahoma"/>
        <charset val="134"/>
      </rPr>
      <t>See</t>
    </r>
    <r>
      <rPr>
        <sz val="10"/>
        <color rgb="FF000000"/>
        <rFont val="Tahoma"/>
        <charset val="134"/>
      </rPr>
      <t xml:space="preserve"> a new selector: "</t>
    </r>
    <r>
      <rPr>
        <b/>
        <sz val="10"/>
        <color rgb="FF000000"/>
        <rFont val="Tahoma"/>
        <charset val="134"/>
      </rPr>
      <t>Export all Carriers"</t>
    </r>
  </si>
  <si>
    <t>3. Phân quyền</t>
  </si>
  <si>
    <t>TC3</t>
  </si>
  <si>
    <t>1: Go to the system TestProEngine with Classic or Current  Mode that has not to set role "CanExportAllCarrierChoices"
2: Submit for the quote 
3: Open the quote at the home
4: Go to Quick Links</t>
  </si>
  <si>
    <r>
      <rPr>
        <b/>
        <sz val="10"/>
        <color rgb="FF000000"/>
        <rFont val="Tahoma"/>
        <charset val="134"/>
      </rPr>
      <t>Don't see</t>
    </r>
    <r>
      <rPr>
        <sz val="10"/>
        <color rgb="FF000000"/>
        <rFont val="Tahoma"/>
        <charset val="134"/>
      </rPr>
      <t xml:space="preserve"> a new selector: "</t>
    </r>
    <r>
      <rPr>
        <b/>
        <sz val="10"/>
        <color rgb="FF000000"/>
        <rFont val="Tahoma"/>
        <charset val="134"/>
      </rPr>
      <t>Export all Carriers"</t>
    </r>
  </si>
  <si>
    <t>4. Đăng xuất</t>
  </si>
  <si>
    <t>CR101 - Export to excel</t>
  </si>
  <si>
    <t>1. Nghiệp vụ</t>
  </si>
  <si>
    <t>Chọn ghế đã có người đặt</t>
  </si>
  <si>
    <t>1: Chọn suất chiếu chưa bắt đầu
2: Chọn ghế đang trong trạng thái "Đã đặt"</t>
  </si>
  <si>
    <t>1: Hệ thống không cho phép chọn ghế
2: Ghế trong trạng thái "Đã đặt" bị disabled, không có phản ứng khi click</t>
  </si>
  <si>
    <t>Đặt ghế không thuộc phòng chiếu</t>
  </si>
  <si>
    <t>1: Truy cập trang đặt ghế phòng 01
2: Dùng Postman gửi request đặt ID_Ghe của phòng 02</t>
  </si>
  <si>
    <t>1: Hệ thống check ID_Ghe so với ID_SuatChieu
2: Phát hiện ghế không đúng phòng và từ chối yêu cầu đặt ghế
3: Hệ thống trả về mã lỗi 400 và không thay đổi trạng thái ghế</t>
  </si>
  <si>
    <t>Đặt ghế trước khi phim bắt đầu 1 giây</t>
  </si>
  <si>
    <t>1: Chọn suất chiếu bắt đầu lúc 19h 00m 00s
2: Chọn ghế trống trên sơ đồ và nhấn "Đặt ghế" lúc 18h 59m 59s</t>
  </si>
  <si>
    <t>1: Hệ thống xác nhận giờ hợp lệ (thời gian hiện tại &lt; thời gian bắt đầu)
2: Ghế được giữ và chuyển hướng sang trang thanh toán</t>
  </si>
  <si>
    <t>TC4</t>
  </si>
  <si>
    <t>Đặt ghế đúng giờ phim chiếu</t>
  </si>
  <si>
    <t>1: Chọn suất chiếu bắt đầu lúc 19h 00m 00s
2: Chọn ghế trống trên sơ đồ và nhấn "Đặt ghế" lúc 19h 00m 00s</t>
  </si>
  <si>
    <t>1: Hệ thống báo lỗi: "Suất chiếu đã bắt đầu. Không thể đặt vé"</t>
  </si>
  <si>
    <t>TC5</t>
  </si>
  <si>
    <t>Đặt ghế sau khi phim đã chiếu được 1 giây</t>
  </si>
  <si>
    <t>1: Chọn suất chiếu bắt đầu lúc 19h 00m 00s
2: Chọn ghế trống trên sơ đồ và nhấn "Đặt ghế" lúc 19h 00m 01s</t>
  </si>
  <si>
    <t>2. Số lượng ghế</t>
  </si>
  <si>
    <t>TC6</t>
  </si>
  <si>
    <t>Không chọn ghế nào</t>
  </si>
  <si>
    <t>1: Chọn suất chiếu chưa bắt đầu
2: Không chọn ghế trống nào
3: Nhấn nút "Đặt ghế"</t>
  </si>
  <si>
    <t>1: Hệ thống phát hiện danh sách ghế rỗng
2: Nút "Đặt ghế" bị vô hiệu hóa (disabled)</t>
  </si>
  <si>
    <t>TC7</t>
  </si>
  <si>
    <t>Chọn 1 ghế</t>
  </si>
  <si>
    <t>1: Chọn suất chiếu chưa bắt đầu
2: Chọn 1 ghế trống trên sơ đồ
3: Nhấn nút "Đặt ghế"</t>
  </si>
  <si>
    <t>1: Hệ thống giữ ghế thành công và chuyển hướng sang trang Thanh toán</t>
  </si>
  <si>
    <t>TC8</t>
  </si>
  <si>
    <t>Chọn 3 ghế</t>
  </si>
  <si>
    <t>1: Chọn suất chiếu chưa bắt đầu
2: Chọn 3 ghế trống trên sơ đồ
3: Nhấn nút "Đặt ghế"</t>
  </si>
  <si>
    <t>TC9</t>
  </si>
  <si>
    <t>Chọn 8 ghế</t>
  </si>
  <si>
    <t>1: Chọn suất chiếu chưa bắt đầu
2: Chọn liên tục 8 ghế trống bất kì trên sơ đồ
3: Nhấn nút "Đặt ghế"</t>
  </si>
  <si>
    <t>TC10</t>
  </si>
  <si>
    <t>Chọn 9 ghế</t>
  </si>
  <si>
    <t>1: Chọn suất chiếu chưa bắt đầu
2: Chọn liên tục 9 ghế trống bất kì trên sơ đồ</t>
  </si>
  <si>
    <t>1: Hệ thống kiểm tra số lượng ghế đã chọn
2: Phát hiện vượt giới hạn 8 ghế
3: Hệ thống không cho phép chọn ghế thứ 9 và hiển thị thông báo "Chỉ được đặt tối đa 8 ghế mỗi suất chiếu"</t>
  </si>
  <si>
    <t>TC11</t>
  </si>
  <si>
    <t>Đặt ghế vượt giới hạn tích lũy</t>
  </si>
  <si>
    <t>1: Tài khoản đã đặt 5 ghế trước đó cho cùng suất chiếu
2: Đặt thêm 4 ghế mới</t>
  </si>
  <si>
    <t>1: Hệ thống kiểm tra tổng số ghế người dùng đã đặt cho suất chiếu này (5 ghế cũ + 4 ghế mới)
2: Phát hiện tổng số ghế là 9, quá giới hạn tối đa (8 ghế)
3: Hiển thị thông báo "Chỉ được đặt tối đa 8 ghế cho mỗi suất chiếu"</t>
  </si>
  <si>
    <t>3. Trạng thái ghế</t>
  </si>
  <si>
    <t>TC12</t>
  </si>
  <si>
    <t>Hết thời gian giữ ghế</t>
  </si>
  <si>
    <t>1: Chọn suất chiếu chưa bắt đầu
2: Chọn ghế trống trên sơ đồ và nhấn nút "Đặt ghế"
3: Nhấn "Thanh toán ngay" khi quá 10 phút</t>
  </si>
  <si>
    <t>1: Hệ thống thông báo "Hết hạn giữ ghế" sau 10 phút
2: Ghế tự động trở về trạng thái "Trống"</t>
  </si>
  <si>
    <t>4. Xử lý đồng thời</t>
  </si>
  <si>
    <t>TC13</t>
  </si>
  <si>
    <t>Hai người cùng chọn 1 ghế</t>
  </si>
  <si>
    <t>1: Hai người dùng chọn cùng 1 suất chiếu chưa bắt đầu
2: Cả 2 chọn cùng ghế trống
3: Gần như đồng thời nhấn nút "Đặt ghế"</t>
  </si>
  <si>
    <t>1: Ghế được chuyển sang trạng thái "Đang giữ" cho 1 người dùng
2: Người còn lại nhận thông báo "Ghế đã được chọn. Vui lòng chọn ghế khác"</t>
  </si>
  <si>
    <t>TC14</t>
  </si>
  <si>
    <t>Một tài khoản đặt 1 ghế trên 2 phiên làm việc</t>
  </si>
  <si>
    <t>1: Mở 2 tab hoặc 2 thiết bị cho cùng 1 tài khoản
2: Chọn cùng suất chiếu chưa bắt đầu
3: Chọn cùng ghế và nhấn nút "Đặt ghế" gần như đồng thời</t>
  </si>
  <si>
    <t>1: Hệ thống duyệt 1 yêu cầu thành công
2: Yêu cầu còn lại báo lỗi "Thông tin đã thay đổi. Vui lòng load lại trang"</t>
  </si>
  <si>
    <t>5. Kiểm tra dữ liệu đầu vào</t>
  </si>
  <si>
    <t>TC15</t>
  </si>
  <si>
    <t>Dữ liệu ghế không hợp lệ</t>
  </si>
  <si>
    <t>1: Chọn suất chiếu chưa bắt đầu
2: Gửi danh sách ghế rỗng, bị trùng hoặc không tồn tại
3: Chọn ghế trống trên sơ đồ và nhấn nút "Đặt ghế"</t>
  </si>
  <si>
    <t>1: Hệ thống kiểm tra dữ liệu đầu vào của danh sách ghế
2: Phát hiện danh sách ghế không hợp lệ
3: Từ chối xử lý yêu cầu đặt ghế
4: Hiển thị thông báo lỗi "Danh sách ghế không hợp lệ. Vui lòng chọn lại"</t>
  </si>
  <si>
    <t>6. Xử lý lỗi mạng</t>
  </si>
  <si>
    <t>TC16</t>
  </si>
  <si>
    <t>Xử lý mất kết nối khi nhấn "Đặt ghế"</t>
  </si>
  <si>
    <t>1: Chọn suất chiếu chưa bắt đầu
2: Chọn ghế trống trên sơ đồ và nhấn nút "Đặt ghế"
3: Bị ngắt kết nối mạng ngay khi hệ thống đang xử lý</t>
  </si>
  <si>
    <t>1: Hệ thống hiển thị thông báo "Mất kết nối internet. Vui lòng thử lại sau"
2: Ghế vẫn ở trạng thái "Trống" và người dùng có thể đặt lại khi mạng ổn định</t>
  </si>
  <si>
    <t>CR102 - Export to excel</t>
  </si>
  <si>
    <t>1. Thời gian thanh toán</t>
  </si>
  <si>
    <t>Thanh toán thành công trong thời gian giữ ghế (trước 1 giây)</t>
  </si>
  <si>
    <t>1: Người dùng chọn ghế và được chuyển sang trang thanh toán
2: Nhấn "Thanh toán ngay" lúc 9m 59s</t>
  </si>
  <si>
    <t>1: Hệ thống kiểm tra thời gian và gửi thông báo "Thanh toán thành công" sau khi hoàn tất giao dịch
2: Xuất vé thành công và ghế chuyển sang trạng thái "Đã đặt"</t>
  </si>
  <si>
    <t>Thanh toán đúng thời điểm hết hạn (đúng 10 phút)</t>
  </si>
  <si>
    <t>1: Người dùng chọn ghế và được chuyển sang trang thanh toán
2: Nhấn "Thanh toán ngay" đúng ở phút thứ 10</t>
  </si>
  <si>
    <t>Thanh toán ngay khi vừa hết hạn (trễ 1 giây)</t>
  </si>
  <si>
    <t>1: Người dùng chọn ghế và được chuyển sang trang thanh toán
2: Nhấn "Thanh toán ngay" lúc 10m 01s</t>
  </si>
  <si>
    <t>1: Hệ thống báo lỗi "Hết hạn giữ ghế"
2: Hệ thống tự động hủy giao dịch
3: Ghế tự động chuyển về trạng thái "Trống"</t>
  </si>
  <si>
    <t>2. Nghiệp vụ</t>
  </si>
  <si>
    <t>Thanh toán khi chưa chọn ghế</t>
  </si>
  <si>
    <t>1: Truy cập trực tiếp vào link thanh toán khi chưa có ghế giữ</t>
  </si>
  <si>
    <t>1: Hệ thống kiểm tra dữ liệu và gửi thông báo lỗi 404</t>
  </si>
  <si>
    <t>Tranh chấp thanh toán khi dữ liệu không đồng bộ</t>
  </si>
  <si>
    <t>1: User A chọn ghế và được chuyển sang trang thanh toán
2: User A treo máy và bị lỗi hiển thị đồng hồ dẫn đến không biết việc ghế đã được giải phóng (do hết thời hạn giữ ghế)
3: User B vào đặt ghế sau đó nhấn "Thanh toán ngay" cùng lúc với user A</t>
  </si>
  <si>
    <t>1: Hệ thống phát hiện User A đã hết hạn giữ chỗ và từ chối giao dịch kèm thông báo "Hết hạn giữ ghế"
2: Xuất vé thành công cho User B và ghế chuyển sang trạng thái "Đã đặt"</t>
  </si>
  <si>
    <t>3. Xử lý ngoại lệ</t>
  </si>
  <si>
    <t>Xử lý khi thanh toán thất bại</t>
  </si>
  <si>
    <t>1: Chọn suất chiếu chưa bắt đầu
2: Chọn ghế trống trên sơ đồ ghế và nhấn nút "Đặt ghế"
3: Nhấn "Thanh toán ngay" trong 10 phút nhưng ngân hàng báo lỗi hoặc thẻ hết tiền</t>
  </si>
  <si>
    <t>1: Hệ thống gửi thông báo "Thanh toán thất bại"
2: Ghế vẫn ở trạng thái "Đang giữ" vì còn đang trong 10 phút
3: Người dùng vẫn có thể thử lại để hoàn tất thanh toán</t>
  </si>
  <si>
    <t>Mất kết nối mạng khi đang thanh toán</t>
  </si>
  <si>
    <t>1: Chọn suất chiếu chưa bắt đầu
2: Chọn ghế trống trên sơ đồ và nhấn nút "Đặt ghế"
3: Bị ngắt kết nối mạng đột ngột ngay khi hệ thống đang xử lý giao dịch</t>
  </si>
  <si>
    <t>1: Hệ thống báo lỗi "Mất kết nối internet. Vui lòng thử lại sau"
2: Người dùng có thể thanh toán lại khi mạng đã ổn định và còn trong thời gian giữ ghế
3: Nếu đã thanh toán nhưng chưa nhận được thông báo "Thanh toán thành công" do lỗi mạng thì hệ thống tạm ghi nhận trạng thái "Giao dịch đang được xử lý. Kết quả sẽ được cập nhật sau ít phút"</t>
  </si>
  <si>
    <t>CR103 - Export to excel</t>
  </si>
  <si>
    <t>1. Thời gian hủy vé</t>
  </si>
  <si>
    <t>Hủy vé hợp lệ (trước suất chiếu 2h 00m 01s)</t>
  </si>
  <si>
    <t>1: Đã đặt thành công vé có suất chiếu bắt đầu lúc đúng 19h
2: Nhấn "Hủy vé" vào 16h 59m 59s</t>
  </si>
  <si>
    <t>1: Hệ thống xác nhận giờ hủy hợp lệ (&gt; 2 giờ)
2: Thông báo "Hủy vé thành công"
3: Trạng thái vé chuyển sang "Đã hủy" và ghế chuyển về trạng thái "Trống"</t>
  </si>
  <si>
    <t>Hủy vé đúng mốc 2 giờ trước suất chiếu</t>
  </si>
  <si>
    <t>1: Đã đặt thành công vé có suất chiếu bắt đầu lúc đúng 19h
2: Nhấn "Hủy vé" vào 17h 00m 00s</t>
  </si>
  <si>
    <t>1: Hệ thống báo lỗi "Đã quá thời gian hủy vé. Chỉ được hủy vé trước suất chiếu trên 2 giờ"
2: Yêu cầu hủy bị từ chối và trạng thái vé vẫn là "Đã đặt"</t>
  </si>
  <si>
    <t>Hủy vé không hợp lệ (trước suất chiếu 1h 59m 59s)</t>
  </si>
  <si>
    <t>1: Đã đặt thành công vé có suất chiếu bắt đầu lúc đúng 19h
2: Nhấn "Hủy vé" vào 17h 00m 01s</t>
  </si>
  <si>
    <t>Hủy vé đã được check-in bởi nhân viên</t>
  </si>
  <si>
    <t>1: Sử dụng vé ở trạng thái đã được nhân viên xác nhận vào cổng
2: Nhấn "Hủy vé" (dù vẫn còn sớm hơn 2 giờ)</t>
  </si>
  <si>
    <t>1: Hệ thống kiểm tra trạng thái vé
2: Hệ thống gửi thông báo "Không thể hủy vé đã được sử dụng (check-in)"
3: Từ chối thao tác hủy</t>
  </si>
  <si>
    <t>Mất kết nối mạng khi đang thực hiện "Hủy vé"</t>
  </si>
  <si>
    <t>1: Đã đặt thành công vé có suất chiếu bắt đầu lúc đúng 19h
2: Nhấn "Hủy vé" trước suất chiếu 2h nhưng bị ngắt kết nối internet ngay khi hệ thống đang xử lý</t>
  </si>
  <si>
    <t>1: Hệ thống báo lỗi "Mất kết nối internet. Vui lòng thử lại sau"
2: Trạng thái vé không thay đổi
3: Người dùng có thể hủy vé lại khi mạng đã ổn định và còn trong thời gian được hủy vé</t>
  </si>
  <si>
    <t>TEST REPORT</t>
  </si>
  <si>
    <t>Note:</t>
  </si>
  <si>
    <t>Date</t>
  </si>
  <si>
    <t>No</t>
  </si>
  <si>
    <t>Module code</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</si>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</sst>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
    <numFmt numFmtId="179" formatCode="0.000"/>
    <numFmt numFmtId="180" formatCode="d\.m"/>
  </numFmts>
  <fonts count="42">
    <font>
      <sz val="11"/>
      <color rgb="FF000000"/>
      <name val="MS PGothic"/>
      <charset val="134"/>
      <scheme val="minor"/>
    </font>
    <font>
      <b/>
      <sz val="18"/>
      <color theme="1"/>
      <name val="Tahoma"/>
      <charset val="134"/>
    </font>
    <font>
      <b/>
      <sz val="10"/>
      <color theme="1"/>
      <name val="Tahoma"/>
      <charset val="134"/>
    </font>
    <font>
      <sz val="10"/>
      <color theme="1"/>
      <name val="Tahoma"/>
      <charset val="134"/>
    </font>
    <font>
      <b/>
      <sz val="10"/>
      <color rgb="FFFFFFFF"/>
      <name val="Tahoma"/>
      <charset val="134"/>
    </font>
    <font>
      <sz val="11"/>
      <color theme="1"/>
      <name val="MS PGothic"/>
      <charset val="134"/>
    </font>
    <font>
      <sz val="10"/>
      <color rgb="FFFFFFFF"/>
      <name val="Tahoma"/>
      <charset val="134"/>
    </font>
    <font>
      <b/>
      <sz val="10"/>
      <color rgb="FF0000FF"/>
      <name val="Tahoma"/>
      <charset val="134"/>
    </font>
    <font>
      <sz val="10"/>
      <color rgb="FF000000"/>
      <name val="Tahoma"/>
      <charset val="134"/>
    </font>
    <font>
      <sz val="8"/>
      <color rgb="FF000000"/>
      <name val="Tahoma"/>
      <charset val="134"/>
    </font>
    <font>
      <sz val="11"/>
      <name val="MS PGothic"/>
      <charset val="134"/>
      <scheme val="minor"/>
    </font>
    <font>
      <sz val="12"/>
      <color rgb="FF000000"/>
      <name val="Tahoma"/>
      <charset val="134"/>
    </font>
    <font>
      <b/>
      <sz val="12"/>
      <color rgb="FFFFFFFF"/>
      <name val="Tahoma"/>
      <charset val="134"/>
    </font>
    <font>
      <sz val="12"/>
      <color theme="1"/>
      <name val="MS PGothic"/>
      <charset val="134"/>
    </font>
    <font>
      <b/>
      <sz val="10"/>
      <color rgb="FF000000"/>
      <name val="Tahoma"/>
      <charset val="134"/>
    </font>
    <font>
      <sz val="10"/>
      <color rgb="FFFF0000"/>
      <name val="Tahoma"/>
      <charset val="134"/>
    </font>
    <font>
      <b/>
      <sz val="11"/>
      <color rgb="FFFFFFFF"/>
      <name val="Tahoma"/>
      <charset val="134"/>
    </font>
    <font>
      <sz val="11"/>
      <color rgb="FF000000"/>
      <name val="Tahoma"/>
      <charset val="134"/>
    </font>
    <font>
      <sz val="11"/>
      <color theme="1"/>
      <name val="Tahoma"/>
      <charset val="134"/>
    </font>
    <font>
      <b/>
      <sz val="10"/>
      <color rgb="FF993300"/>
      <name val="Tahoma"/>
      <charset val="134"/>
    </font>
    <font>
      <sz val="11"/>
      <color theme="1"/>
      <name val="MS PGothic"/>
      <charset val="134"/>
      <scheme val="minor"/>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
      <b/>
      <sz val="10"/>
      <color theme="1"/>
      <name val="MS Gothic"/>
      <charset val="134"/>
    </font>
    <font>
      <b/>
      <sz val="10"/>
      <color theme="1"/>
      <name val="ＭＳ Ｐゴシック"/>
      <charset val="134"/>
    </font>
  </fonts>
  <fills count="38">
    <fill>
      <patternFill patternType="none"/>
    </fill>
    <fill>
      <patternFill patternType="gray125"/>
    </fill>
    <fill>
      <patternFill patternType="solid">
        <fgColor rgb="FF000080"/>
        <bgColor rgb="FF000080"/>
      </patternFill>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hair">
        <color rgb="FF000000"/>
      </left>
      <right style="thin">
        <color rgb="FF000000"/>
      </right>
      <top style="thin">
        <color rgb="FF000000"/>
      </top>
      <bottom/>
      <diagonal/>
    </border>
    <border>
      <left style="hair">
        <color rgb="FF000000"/>
      </left>
      <right/>
      <top style="hair">
        <color rgb="FF000000"/>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177"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7" borderId="37"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9" fillId="8" borderId="40" applyNumberFormat="0" applyAlignment="0" applyProtection="0">
      <alignment vertical="center"/>
    </xf>
    <xf numFmtId="0" fontId="30" fillId="9" borderId="41" applyNumberFormat="0" applyAlignment="0" applyProtection="0">
      <alignment vertical="center"/>
    </xf>
    <xf numFmtId="0" fontId="31" fillId="9" borderId="40" applyNumberFormat="0" applyAlignment="0" applyProtection="0">
      <alignment vertical="center"/>
    </xf>
    <xf numFmtId="0" fontId="32" fillId="10" borderId="42" applyNumberFormat="0" applyAlignment="0" applyProtection="0">
      <alignment vertical="center"/>
    </xf>
    <xf numFmtId="0" fontId="33" fillId="0" borderId="43" applyNumberFormat="0" applyFill="0" applyAlignment="0" applyProtection="0">
      <alignment vertical="center"/>
    </xf>
    <xf numFmtId="0" fontId="34" fillId="0" borderId="44" applyNumberFormat="0" applyFill="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cellStyleXfs>
  <cellXfs count="129">
    <xf numFmtId="0" fontId="0" fillId="0" borderId="0" xfId="0" applyFont="1" applyAlignment="1"/>
    <xf numFmtId="0" fontId="1" fillId="0" borderId="0" xfId="0" applyFont="1"/>
    <xf numFmtId="0" fontId="2" fillId="0" borderId="0" xfId="0" applyFont="1"/>
    <xf numFmtId="0" fontId="3" fillId="0" borderId="0" xfId="0" applyFont="1"/>
    <xf numFmtId="178" fontId="3" fillId="0" borderId="0" xfId="0" applyNumberFormat="1" applyFont="1"/>
    <xf numFmtId="178" fontId="3" fillId="0" borderId="1" xfId="0" applyNumberFormat="1" applyFont="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3" fillId="0" borderId="0" xfId="0" applyFont="1" applyAlignment="1">
      <alignment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1" fontId="3" fillId="0" borderId="6" xfId="0" applyNumberFormat="1" applyFont="1" applyBorder="1" applyAlignment="1">
      <alignment horizontal="center" vertical="center" wrapText="1"/>
    </xf>
    <xf numFmtId="0" fontId="5" fillId="0" borderId="0" xfId="0" applyFont="1" applyAlignment="1">
      <alignment wrapText="1"/>
    </xf>
    <xf numFmtId="0" fontId="3" fillId="0" borderId="5" xfId="0" applyFont="1" applyBorder="1" applyAlignment="1">
      <alignment horizontal="center"/>
    </xf>
    <xf numFmtId="1" fontId="3" fillId="0" borderId="6" xfId="0" applyNumberFormat="1" applyFont="1" applyBorder="1" applyAlignment="1">
      <alignment horizontal="center"/>
    </xf>
    <xf numFmtId="0" fontId="3" fillId="0" borderId="7" xfId="0" applyFont="1" applyBorder="1" applyAlignment="1">
      <alignment horizontal="center"/>
    </xf>
    <xf numFmtId="1" fontId="3" fillId="0" borderId="8" xfId="0" applyNumberFormat="1" applyFont="1" applyBorder="1" applyAlignment="1">
      <alignment horizontal="center"/>
    </xf>
    <xf numFmtId="0" fontId="6" fillId="2" borderId="9" xfId="0" applyFont="1" applyFill="1" applyBorder="1" applyAlignment="1">
      <alignment horizontal="center"/>
    </xf>
    <xf numFmtId="0" fontId="4" fillId="2" borderId="10" xfId="0" applyFont="1" applyFill="1" applyBorder="1"/>
    <xf numFmtId="1" fontId="6" fillId="2" borderId="10" xfId="0" applyNumberFormat="1" applyFont="1" applyFill="1" applyBorder="1" applyAlignment="1">
      <alignment horizontal="center"/>
    </xf>
    <xf numFmtId="0" fontId="6" fillId="2" borderId="10" xfId="0" applyFont="1" applyFill="1" applyBorder="1" applyAlignment="1">
      <alignment horizontal="center"/>
    </xf>
    <xf numFmtId="1" fontId="6" fillId="2" borderId="11" xfId="0" applyNumberFormat="1" applyFont="1" applyFill="1" applyBorder="1" applyAlignment="1">
      <alignment horizontal="center"/>
    </xf>
    <xf numFmtId="0" fontId="3" fillId="0" borderId="0" xfId="0" applyFont="1" applyAlignment="1">
      <alignment horizontal="center"/>
    </xf>
    <xf numFmtId="10" fontId="3" fillId="0" borderId="0" xfId="0" applyNumberFormat="1" applyFont="1" applyAlignment="1">
      <alignment horizontal="center"/>
    </xf>
    <xf numFmtId="9" fontId="3" fillId="0" borderId="0" xfId="0" applyNumberFormat="1" applyFont="1" applyAlignment="1">
      <alignment horizontal="center"/>
    </xf>
    <xf numFmtId="2" fontId="7" fillId="0" borderId="0" xfId="0" applyNumberFormat="1" applyFont="1" applyAlignment="1">
      <alignment horizontal="right" wrapText="1"/>
    </xf>
    <xf numFmtId="0" fontId="8" fillId="0" borderId="0" xfId="0" applyFont="1" applyAlignment="1">
      <alignment horizontal="center" wrapText="1"/>
    </xf>
    <xf numFmtId="0" fontId="2" fillId="3" borderId="0" xfId="0" applyFont="1" applyFill="1" applyBorder="1"/>
    <xf numFmtId="0" fontId="9" fillId="3" borderId="0" xfId="0" applyFont="1" applyFill="1" applyBorder="1" applyAlignment="1">
      <alignment horizontal="center" wrapText="1"/>
    </xf>
    <xf numFmtId="0" fontId="10" fillId="0" borderId="0" xfId="0" applyFont="1" applyBorder="1"/>
    <xf numFmtId="0" fontId="9" fillId="3" borderId="0" xfId="0" applyFont="1" applyFill="1" applyBorder="1" applyAlignment="1">
      <alignment wrapText="1"/>
    </xf>
    <xf numFmtId="0" fontId="8" fillId="3" borderId="0" xfId="0" applyFont="1" applyFill="1" applyBorder="1" applyAlignment="1">
      <alignment wrapText="1"/>
    </xf>
    <xf numFmtId="0" fontId="9" fillId="3" borderId="0" xfId="0" applyFont="1" applyFill="1" applyBorder="1"/>
    <xf numFmtId="0" fontId="9" fillId="0" borderId="0" xfId="0" applyFont="1"/>
    <xf numFmtId="0" fontId="10" fillId="0" borderId="12" xfId="0" applyFont="1" applyBorder="1"/>
    <xf numFmtId="0" fontId="2" fillId="3" borderId="13" xfId="0" applyFont="1" applyFill="1" applyBorder="1" applyAlignment="1">
      <alignment horizontal="left" wrapText="1"/>
    </xf>
    <xf numFmtId="0" fontId="3" fillId="3" borderId="14" xfId="0" applyFont="1" applyFill="1" applyBorder="1" applyAlignment="1">
      <alignment horizontal="left" wrapText="1"/>
    </xf>
    <xf numFmtId="0" fontId="10" fillId="0" borderId="15" xfId="0" applyFont="1" applyBorder="1"/>
    <xf numFmtId="0" fontId="10" fillId="0" borderId="16" xfId="0" applyFont="1" applyBorder="1"/>
    <xf numFmtId="0" fontId="3" fillId="3" borderId="0" xfId="0" applyFont="1" applyFill="1" applyBorder="1" applyAlignment="1">
      <alignment horizontal="left" wrapText="1"/>
    </xf>
    <xf numFmtId="0" fontId="8" fillId="3" borderId="0" xfId="0" applyFont="1" applyFill="1" applyBorder="1" applyAlignment="1">
      <alignment horizontal="center" wrapText="1"/>
    </xf>
    <xf numFmtId="0" fontId="8" fillId="3" borderId="0" xfId="0" applyFont="1" applyFill="1" applyBorder="1"/>
    <xf numFmtId="0" fontId="8" fillId="0" borderId="0" xfId="0" applyFont="1"/>
    <xf numFmtId="0" fontId="2" fillId="3" borderId="17" xfId="0" applyFont="1" applyFill="1" applyBorder="1" applyAlignment="1">
      <alignment horizontal="left" vertical="center" wrapText="1"/>
    </xf>
    <xf numFmtId="0" fontId="3" fillId="3" borderId="18" xfId="0" applyFont="1" applyFill="1" applyBorder="1" applyAlignment="1">
      <alignment horizontal="left" vertical="top" wrapText="1"/>
    </xf>
    <xf numFmtId="0" fontId="10" fillId="0" borderId="19" xfId="0" applyFont="1" applyBorder="1"/>
    <xf numFmtId="0" fontId="10" fillId="0" borderId="20" xfId="0" applyFont="1" applyBorder="1"/>
    <xf numFmtId="0" fontId="3" fillId="3" borderId="18" xfId="0" applyFont="1" applyFill="1" applyBorder="1" applyAlignment="1">
      <alignment horizontal="left" vertical="center" wrapText="1"/>
    </xf>
    <xf numFmtId="0" fontId="3" fillId="3" borderId="0" xfId="0" applyFont="1" applyFill="1" applyBorder="1" applyAlignment="1">
      <alignment horizontal="left" vertical="center" wrapText="1"/>
    </xf>
    <xf numFmtId="0" fontId="8" fillId="3" borderId="0" xfId="0" applyFont="1" applyFill="1" applyBorder="1" applyAlignment="1">
      <alignment horizontal="center" vertical="center" wrapText="1"/>
    </xf>
    <xf numFmtId="0" fontId="8" fillId="3" borderId="0" xfId="0" applyFont="1" applyFill="1" applyBorder="1" applyAlignment="1">
      <alignment vertical="center" wrapText="1"/>
    </xf>
    <xf numFmtId="0" fontId="8" fillId="0" borderId="0" xfId="0" applyFont="1" applyAlignment="1">
      <alignment vertical="center" wrapText="1"/>
    </xf>
    <xf numFmtId="0" fontId="8" fillId="3" borderId="17" xfId="0" applyFont="1" applyFill="1" applyBorder="1" applyAlignment="1">
      <alignment horizontal="right"/>
    </xf>
    <xf numFmtId="0" fontId="8" fillId="3" borderId="21" xfId="0" applyFont="1" applyFill="1" applyBorder="1" applyAlignment="1">
      <alignment wrapText="1"/>
    </xf>
    <xf numFmtId="0" fontId="8" fillId="3" borderId="21" xfId="0" applyFont="1" applyFill="1" applyBorder="1" applyAlignment="1">
      <alignment horizontal="center" wrapText="1"/>
    </xf>
    <xf numFmtId="0" fontId="8" fillId="3" borderId="22" xfId="0" applyFont="1" applyFill="1" applyBorder="1" applyAlignment="1">
      <alignment horizontal="center" wrapText="1"/>
    </xf>
    <xf numFmtId="0" fontId="8" fillId="3" borderId="23" xfId="0" applyFont="1" applyFill="1" applyBorder="1" applyAlignment="1">
      <alignment horizontal="right"/>
    </xf>
    <xf numFmtId="0" fontId="8" fillId="3" borderId="24" xfId="0" applyFont="1" applyFill="1" applyBorder="1" applyAlignment="1">
      <alignment wrapText="1"/>
    </xf>
    <xf numFmtId="0" fontId="8" fillId="0" borderId="24" xfId="0" applyFont="1" applyBorder="1" applyAlignment="1">
      <alignment horizontal="center"/>
    </xf>
    <xf numFmtId="1" fontId="8" fillId="3" borderId="25" xfId="0" applyNumberFormat="1" applyFont="1" applyFill="1" applyBorder="1" applyAlignment="1">
      <alignment horizontal="center" wrapText="1"/>
    </xf>
    <xf numFmtId="1" fontId="8" fillId="3" borderId="0" xfId="0" applyNumberFormat="1" applyFont="1" applyFill="1" applyBorder="1" applyAlignment="1">
      <alignment horizontal="center" wrapText="1"/>
    </xf>
    <xf numFmtId="0" fontId="8" fillId="3" borderId="15" xfId="0" applyFont="1" applyFill="1" applyBorder="1" applyAlignment="1">
      <alignment horizontal="center"/>
    </xf>
    <xf numFmtId="0" fontId="8" fillId="3" borderId="26" xfId="0" applyFont="1" applyFill="1" applyBorder="1" applyAlignment="1">
      <alignment horizontal="center" wrapText="1"/>
    </xf>
    <xf numFmtId="0" fontId="4" fillId="4" borderId="27" xfId="0" applyFont="1" applyFill="1" applyBorder="1" applyAlignment="1">
      <alignment horizontal="center" vertical="center" wrapText="1"/>
    </xf>
    <xf numFmtId="0" fontId="4" fillId="4" borderId="27" xfId="0" applyFont="1" applyFill="1" applyBorder="1" applyAlignment="1">
      <alignment vertical="center" wrapText="1"/>
    </xf>
    <xf numFmtId="0" fontId="4" fillId="4" borderId="28" xfId="0" applyFont="1" applyFill="1" applyBorder="1" applyAlignment="1">
      <alignment horizontal="center" vertical="center" wrapText="1"/>
    </xf>
    <xf numFmtId="0" fontId="10" fillId="0" borderId="29" xfId="0" applyFont="1" applyBorder="1"/>
    <xf numFmtId="0" fontId="4" fillId="4" borderId="30" xfId="0" applyFont="1" applyFill="1" applyBorder="1" applyAlignment="1">
      <alignment horizontal="center" vertical="center" wrapText="1"/>
    </xf>
    <xf numFmtId="0" fontId="11" fillId="3" borderId="0" xfId="0" applyFont="1" applyFill="1" applyBorder="1"/>
    <xf numFmtId="0" fontId="11" fillId="0" borderId="0" xfId="0" applyFont="1"/>
    <xf numFmtId="0" fontId="10" fillId="0" borderId="31" xfId="0" applyFont="1" applyBorder="1"/>
    <xf numFmtId="0" fontId="10" fillId="0" borderId="32" xfId="0" applyFont="1" applyBorder="1"/>
    <xf numFmtId="0" fontId="10" fillId="0" borderId="26" xfId="0" applyFont="1" applyBorder="1"/>
    <xf numFmtId="0" fontId="10" fillId="0" borderId="33" xfId="0" applyFont="1" applyBorder="1"/>
    <xf numFmtId="0" fontId="12" fillId="5" borderId="19" xfId="0" applyFont="1" applyFill="1" applyBorder="1" applyAlignment="1">
      <alignment horizontal="left" vertical="center"/>
    </xf>
    <xf numFmtId="0" fontId="10" fillId="0" borderId="34" xfId="0" applyFont="1" applyBorder="1"/>
    <xf numFmtId="0" fontId="13" fillId="0" borderId="0" xfId="0" applyFont="1"/>
    <xf numFmtId="0" fontId="14" fillId="6" borderId="18" xfId="0" applyFont="1" applyFill="1" applyBorder="1" applyAlignment="1">
      <alignment horizontal="left" vertical="center" wrapText="1"/>
    </xf>
    <xf numFmtId="0" fontId="9" fillId="0" borderId="0" xfId="0" applyFont="1" applyAlignment="1">
      <alignment vertical="top"/>
    </xf>
    <xf numFmtId="179" fontId="8" fillId="0" borderId="21" xfId="0" applyNumberFormat="1" applyFont="1" applyBorder="1" applyAlignment="1">
      <alignment horizontal="left" vertical="top" wrapText="1"/>
    </xf>
    <xf numFmtId="0" fontId="8" fillId="0" borderId="21" xfId="0" applyFont="1" applyBorder="1" applyAlignment="1">
      <alignment vertical="top" wrapText="1"/>
    </xf>
    <xf numFmtId="0" fontId="8" fillId="0" borderId="21" xfId="0" applyFont="1" applyBorder="1" applyAlignment="1">
      <alignment horizontal="left" vertical="top" wrapText="1"/>
    </xf>
    <xf numFmtId="0" fontId="8" fillId="0" borderId="18" xfId="0" applyFont="1" applyBorder="1" applyAlignment="1">
      <alignment horizontal="left" vertical="top" wrapText="1"/>
    </xf>
    <xf numFmtId="0" fontId="8" fillId="0" borderId="34" xfId="0" applyFont="1" applyBorder="1" applyAlignment="1">
      <alignment horizontal="left" vertical="top" wrapText="1"/>
    </xf>
    <xf numFmtId="0" fontId="8" fillId="0" borderId="19" xfId="0" applyFont="1" applyBorder="1" applyAlignment="1">
      <alignment horizontal="left" vertical="top" wrapText="1"/>
    </xf>
    <xf numFmtId="0" fontId="15" fillId="0" borderId="18" xfId="0" applyFont="1" applyBorder="1" applyAlignment="1">
      <alignment horizontal="left" vertical="top" wrapText="1"/>
    </xf>
    <xf numFmtId="0" fontId="8" fillId="0" borderId="30" xfId="0" applyFont="1" applyBorder="1" applyAlignment="1">
      <alignment vertical="top" wrapText="1"/>
    </xf>
    <xf numFmtId="0" fontId="8" fillId="0" borderId="30" xfId="0" applyFont="1" applyBorder="1" applyAlignment="1">
      <alignment horizontal="left" vertical="top" wrapText="1"/>
    </xf>
    <xf numFmtId="0" fontId="5" fillId="0" borderId="0" xfId="0" applyFont="1"/>
    <xf numFmtId="0" fontId="16" fillId="4" borderId="27" xfId="0" applyFont="1" applyFill="1" applyBorder="1" applyAlignment="1">
      <alignment vertical="center" wrapText="1"/>
    </xf>
    <xf numFmtId="0" fontId="17" fillId="0" borderId="21" xfId="0" applyFont="1" applyBorder="1" applyAlignment="1">
      <alignment horizontal="left" vertical="top" wrapText="1"/>
    </xf>
    <xf numFmtId="0" fontId="14" fillId="6" borderId="19" xfId="0" applyFont="1" applyFill="1" applyBorder="1" applyAlignment="1">
      <alignment horizontal="left" vertical="center" wrapText="1"/>
    </xf>
    <xf numFmtId="0" fontId="14" fillId="6" borderId="34" xfId="0" applyFont="1" applyFill="1" applyBorder="1" applyAlignment="1">
      <alignment horizontal="left" vertical="center" wrapText="1"/>
    </xf>
    <xf numFmtId="0" fontId="8" fillId="0" borderId="30" xfId="0" applyFont="1" applyBorder="1" applyAlignment="1">
      <alignment horizontal="center" vertical="top" wrapText="1"/>
    </xf>
    <xf numFmtId="0" fontId="14" fillId="0" borderId="18" xfId="0" applyFont="1" applyBorder="1" applyAlignment="1">
      <alignment horizontal="left" vertical="top" wrapText="1"/>
    </xf>
    <xf numFmtId="0" fontId="8" fillId="0" borderId="21" xfId="0" applyFont="1" applyBorder="1" applyAlignment="1">
      <alignment horizontal="center" vertical="top" wrapText="1"/>
    </xf>
    <xf numFmtId="0" fontId="18" fillId="0" borderId="0" xfId="0" applyFont="1"/>
    <xf numFmtId="0" fontId="18" fillId="3" borderId="0" xfId="0" applyFont="1" applyFill="1" applyBorder="1"/>
    <xf numFmtId="0" fontId="1" fillId="3" borderId="0" xfId="0" applyFont="1" applyFill="1" applyBorder="1"/>
    <xf numFmtId="0" fontId="19" fillId="3" borderId="0" xfId="0" applyFont="1" applyFill="1" applyBorder="1"/>
    <xf numFmtId="180" fontId="3" fillId="3" borderId="0" xfId="0" applyNumberFormat="1" applyFont="1" applyFill="1" applyBorder="1" applyAlignment="1">
      <alignment horizontal="left"/>
    </xf>
    <xf numFmtId="0" fontId="3" fillId="3" borderId="0" xfId="0" applyFont="1" applyFill="1" applyBorder="1"/>
    <xf numFmtId="15" fontId="3" fillId="0" borderId="0" xfId="0" applyNumberFormat="1" applyFont="1" applyAlignment="1">
      <alignment horizontal="left"/>
    </xf>
    <xf numFmtId="0" fontId="19" fillId="0" borderId="0" xfId="0" applyFont="1"/>
    <xf numFmtId="0" fontId="18" fillId="0" borderId="0" xfId="0" applyFont="1" applyAlignment="1">
      <alignment vertical="center"/>
    </xf>
    <xf numFmtId="178" fontId="4" fillId="2" borderId="2"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35" xfId="0" applyFont="1" applyFill="1" applyBorder="1" applyAlignment="1">
      <alignment horizontal="center" vertical="center"/>
    </xf>
    <xf numFmtId="178" fontId="3" fillId="0" borderId="1" xfId="0" applyNumberFormat="1" applyFont="1" applyBorder="1" applyAlignment="1">
      <alignment horizontal="center" vertical="center"/>
    </xf>
    <xf numFmtId="49" fontId="3" fillId="0" borderId="5" xfId="0" applyNumberFormat="1" applyFont="1" applyBorder="1" applyAlignment="1">
      <alignment horizontal="center" vertical="center"/>
    </xf>
    <xf numFmtId="0" fontId="3" fillId="0" borderId="5" xfId="0" applyFont="1" applyBorder="1" applyAlignment="1">
      <alignment horizontal="center" vertical="center"/>
    </xf>
    <xf numFmtId="15" fontId="3" fillId="0" borderId="5" xfId="0" applyNumberFormat="1" applyFont="1" applyBorder="1" applyAlignment="1">
      <alignment horizontal="left" vertical="center"/>
    </xf>
    <xf numFmtId="15" fontId="3" fillId="0" borderId="5" xfId="0" applyNumberFormat="1" applyFont="1" applyBorder="1" applyAlignment="1">
      <alignment horizontal="center" vertical="center"/>
    </xf>
    <xf numFmtId="0" fontId="3" fillId="0" borderId="36" xfId="0" applyFont="1" applyBorder="1" applyAlignment="1">
      <alignment horizontal="left" vertical="center" wrapText="1"/>
    </xf>
    <xf numFmtId="0" fontId="3" fillId="0" borderId="6" xfId="0" applyFont="1" applyBorder="1" applyAlignment="1">
      <alignment vertical="center" wrapText="1"/>
    </xf>
    <xf numFmtId="0" fontId="3" fillId="0" borderId="0" xfId="0" applyFont="1" applyAlignment="1">
      <alignment vertical="center"/>
    </xf>
    <xf numFmtId="15" fontId="3" fillId="0" borderId="5" xfId="0" applyNumberFormat="1" applyFont="1" applyBorder="1" applyAlignment="1">
      <alignment horizontal="center" vertical="center" wrapText="1"/>
    </xf>
    <xf numFmtId="178" fontId="3" fillId="0" borderId="1" xfId="0" applyNumberFormat="1" applyFont="1" applyBorder="1" applyAlignment="1">
      <alignment vertical="center"/>
    </xf>
    <xf numFmtId="49" fontId="3" fillId="0" borderId="5" xfId="0" applyNumberFormat="1"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18" fillId="0" borderId="6" xfId="0" applyFont="1" applyBorder="1" applyAlignment="1">
      <alignment vertical="center"/>
    </xf>
    <xf numFmtId="178" fontId="3" fillId="0" borderId="9" xfId="0" applyNumberFormat="1" applyFont="1" applyBorder="1" applyAlignment="1">
      <alignment vertical="center"/>
    </xf>
    <xf numFmtId="49" fontId="3" fillId="0" borderId="10" xfId="0" applyNumberFormat="1"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sdc-nt2\osdc\Documents%20and%20Settings\ThoanCT\My%20Documents\Copy%20of%20DataLoadSheet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s>
    <sheetDataSet>
      <sheetData sheetId="0" refreshError="1"/>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A1" sqref="A1"/>
    </sheetView>
  </sheetViews>
  <sheetFormatPr defaultColWidth="12.6296296296296" defaultRowHeight="15" customHeight="1"/>
  <cols>
    <col min="1" max="1" width="9" customWidth="1"/>
    <col min="2" max="2" width="14.1296296296296" customWidth="1"/>
    <col min="3" max="3" width="9" customWidth="1"/>
    <col min="4" max="4" width="15" customWidth="1"/>
    <col min="5" max="5" width="32.5" customWidth="1"/>
    <col min="6" max="6" width="23.8796296296296" customWidth="1"/>
    <col min="7" max="7" width="20.5" customWidth="1"/>
    <col min="8" max="8" width="26.6296296296296" customWidth="1"/>
    <col min="9" max="26" width="9" customWidth="1"/>
  </cols>
  <sheetData>
    <row r="1" ht="13.5" customHeight="1" spans="1:26">
      <c r="A1" s="98"/>
      <c r="B1" s="98"/>
      <c r="C1" s="98"/>
      <c r="D1" s="98"/>
      <c r="E1" s="98"/>
      <c r="F1" s="98"/>
      <c r="G1" s="98"/>
      <c r="H1" s="98"/>
      <c r="I1" s="98"/>
      <c r="J1" s="98"/>
      <c r="K1" s="98"/>
      <c r="L1" s="98"/>
      <c r="M1" s="98"/>
      <c r="N1" s="98"/>
      <c r="O1" s="98"/>
      <c r="P1" s="98"/>
      <c r="Q1" s="98"/>
      <c r="R1" s="98"/>
      <c r="S1" s="98"/>
      <c r="T1" s="98"/>
      <c r="U1" s="98"/>
      <c r="V1" s="98"/>
      <c r="W1" s="98"/>
      <c r="X1" s="98"/>
      <c r="Y1" s="98"/>
      <c r="Z1" s="98"/>
    </row>
    <row r="2" ht="24" customHeight="1" spans="1:26">
      <c r="A2" s="99"/>
      <c r="B2" s="100" t="s">
        <v>0</v>
      </c>
      <c r="C2" s="99"/>
      <c r="D2" s="99"/>
      <c r="E2" s="99"/>
      <c r="F2" s="99"/>
      <c r="G2" s="99"/>
      <c r="H2" s="98"/>
      <c r="I2" s="98"/>
      <c r="J2" s="98"/>
      <c r="K2" s="98"/>
      <c r="L2" s="98"/>
      <c r="M2" s="98"/>
      <c r="N2" s="98"/>
      <c r="O2" s="98"/>
      <c r="P2" s="98"/>
      <c r="Q2" s="98"/>
      <c r="R2" s="98"/>
      <c r="S2" s="98"/>
      <c r="T2" s="98"/>
      <c r="U2" s="98"/>
      <c r="V2" s="98"/>
      <c r="W2" s="98"/>
      <c r="X2" s="98"/>
      <c r="Y2" s="98"/>
      <c r="Z2" s="98"/>
    </row>
    <row r="3" ht="13.5" customHeight="1" spans="1:26">
      <c r="A3" s="99"/>
      <c r="B3" s="101" t="s">
        <v>1</v>
      </c>
      <c r="C3" s="102">
        <v>46023</v>
      </c>
      <c r="D3" s="103"/>
      <c r="E3" s="99"/>
      <c r="F3" s="99"/>
      <c r="G3" s="99"/>
      <c r="H3" s="98"/>
      <c r="I3" s="98"/>
      <c r="J3" s="98"/>
      <c r="K3" s="98"/>
      <c r="L3" s="98"/>
      <c r="M3" s="98"/>
      <c r="N3" s="98"/>
      <c r="O3" s="98"/>
      <c r="P3" s="98"/>
      <c r="Q3" s="98"/>
      <c r="R3" s="98"/>
      <c r="S3" s="98"/>
      <c r="T3" s="98"/>
      <c r="U3" s="98"/>
      <c r="V3" s="98"/>
      <c r="W3" s="98"/>
      <c r="X3" s="98"/>
      <c r="Y3" s="98"/>
      <c r="Z3" s="98"/>
    </row>
    <row r="4" ht="13.5" customHeight="1" spans="1:26">
      <c r="A4" s="99"/>
      <c r="B4" s="101" t="s">
        <v>2</v>
      </c>
      <c r="C4" s="104">
        <v>46141</v>
      </c>
      <c r="D4" s="104"/>
      <c r="E4" s="99"/>
      <c r="F4" s="99"/>
      <c r="G4" s="99"/>
      <c r="H4" s="98"/>
      <c r="I4" s="98"/>
      <c r="J4" s="98"/>
      <c r="K4" s="98"/>
      <c r="L4" s="98"/>
      <c r="M4" s="98"/>
      <c r="N4" s="98"/>
      <c r="O4" s="98"/>
      <c r="P4" s="98"/>
      <c r="Q4" s="98"/>
      <c r="R4" s="98"/>
      <c r="S4" s="98"/>
      <c r="T4" s="98"/>
      <c r="U4" s="98"/>
      <c r="V4" s="98"/>
      <c r="W4" s="98"/>
      <c r="X4" s="98"/>
      <c r="Y4" s="98"/>
      <c r="Z4" s="98"/>
    </row>
    <row r="5" ht="13.5" customHeight="1" spans="1:26">
      <c r="A5" s="99"/>
      <c r="B5" s="101"/>
      <c r="C5" s="103"/>
      <c r="D5" s="103"/>
      <c r="E5" s="99"/>
      <c r="F5" s="99"/>
      <c r="G5" s="99"/>
      <c r="H5" s="98"/>
      <c r="I5" s="98"/>
      <c r="J5" s="98"/>
      <c r="K5" s="98"/>
      <c r="L5" s="98"/>
      <c r="M5" s="98"/>
      <c r="N5" s="98"/>
      <c r="O5" s="98"/>
      <c r="P5" s="98"/>
      <c r="Q5" s="98"/>
      <c r="R5" s="98"/>
      <c r="S5" s="98"/>
      <c r="T5" s="98"/>
      <c r="U5" s="98"/>
      <c r="V5" s="98"/>
      <c r="W5" s="98"/>
      <c r="X5" s="98"/>
      <c r="Y5" s="98"/>
      <c r="Z5" s="98"/>
    </row>
    <row r="6" ht="14.25" customHeight="1" spans="1:26">
      <c r="A6" s="99"/>
      <c r="B6" s="101" t="s">
        <v>3</v>
      </c>
      <c r="C6" s="38" t="s">
        <v>4</v>
      </c>
      <c r="D6" s="39"/>
      <c r="E6" s="40"/>
      <c r="F6" s="99"/>
      <c r="G6" s="99"/>
      <c r="H6" s="98"/>
      <c r="I6" s="98"/>
      <c r="J6" s="98"/>
      <c r="K6" s="98"/>
      <c r="L6" s="98"/>
      <c r="M6" s="98"/>
      <c r="N6" s="98"/>
      <c r="O6" s="98"/>
      <c r="P6" s="98"/>
      <c r="Q6" s="98"/>
      <c r="R6" s="98"/>
      <c r="S6" s="98"/>
      <c r="T6" s="98"/>
      <c r="U6" s="98"/>
      <c r="V6" s="98"/>
      <c r="W6" s="98"/>
      <c r="X6" s="98"/>
      <c r="Y6" s="98"/>
      <c r="Z6" s="98"/>
    </row>
    <row r="7" ht="13.5" customHeight="1" spans="1:26">
      <c r="A7" s="99"/>
      <c r="B7" s="101" t="s">
        <v>5</v>
      </c>
      <c r="C7" s="38" t="s">
        <v>6</v>
      </c>
      <c r="D7" s="39"/>
      <c r="E7" s="40"/>
      <c r="F7" s="99"/>
      <c r="G7" s="99"/>
      <c r="H7" s="98"/>
      <c r="I7" s="98"/>
      <c r="J7" s="98"/>
      <c r="K7" s="98"/>
      <c r="L7" s="98"/>
      <c r="M7" s="98"/>
      <c r="N7" s="98"/>
      <c r="O7" s="98"/>
      <c r="P7" s="98"/>
      <c r="Q7" s="98"/>
      <c r="R7" s="98"/>
      <c r="S7" s="98"/>
      <c r="T7" s="98"/>
      <c r="U7" s="98"/>
      <c r="V7" s="98"/>
      <c r="W7" s="98"/>
      <c r="X7" s="98"/>
      <c r="Y7" s="98"/>
      <c r="Z7" s="98"/>
    </row>
    <row r="8" ht="13.5" customHeight="1" spans="1:26">
      <c r="A8" s="99"/>
      <c r="B8" s="101"/>
      <c r="C8" s="99"/>
      <c r="D8" s="99"/>
      <c r="E8" s="99"/>
      <c r="F8" s="99"/>
      <c r="G8" s="99"/>
      <c r="H8" s="98"/>
      <c r="I8" s="98"/>
      <c r="J8" s="98"/>
      <c r="K8" s="98"/>
      <c r="L8" s="98"/>
      <c r="M8" s="98"/>
      <c r="N8" s="98"/>
      <c r="O8" s="98"/>
      <c r="P8" s="98"/>
      <c r="Q8" s="98"/>
      <c r="R8" s="98"/>
      <c r="S8" s="98"/>
      <c r="T8" s="98"/>
      <c r="U8" s="98"/>
      <c r="V8" s="98"/>
      <c r="W8" s="98"/>
      <c r="X8" s="98"/>
      <c r="Y8" s="98"/>
      <c r="Z8" s="98"/>
    </row>
    <row r="9" ht="13.5" customHeight="1" spans="1:26">
      <c r="A9" s="99"/>
      <c r="B9" s="3"/>
      <c r="C9" s="3"/>
      <c r="D9" s="3"/>
      <c r="E9" s="3"/>
      <c r="F9" s="99"/>
      <c r="G9" s="99"/>
      <c r="H9" s="98"/>
      <c r="I9" s="98"/>
      <c r="J9" s="98"/>
      <c r="K9" s="98"/>
      <c r="L9" s="98"/>
      <c r="M9" s="98"/>
      <c r="N9" s="98"/>
      <c r="O9" s="98"/>
      <c r="P9" s="98"/>
      <c r="Q9" s="98"/>
      <c r="R9" s="98"/>
      <c r="S9" s="98"/>
      <c r="T9" s="98"/>
      <c r="U9" s="98"/>
      <c r="V9" s="98"/>
      <c r="W9" s="98"/>
      <c r="X9" s="98"/>
      <c r="Y9" s="98"/>
      <c r="Z9" s="98"/>
    </row>
    <row r="10" ht="13.5" customHeight="1" spans="1:26">
      <c r="A10" s="98"/>
      <c r="B10" s="105" t="s">
        <v>7</v>
      </c>
      <c r="C10" s="98"/>
      <c r="D10" s="98"/>
      <c r="E10" s="98"/>
      <c r="F10" s="98"/>
      <c r="G10" s="98"/>
      <c r="H10" s="98"/>
      <c r="I10" s="98"/>
      <c r="J10" s="98"/>
      <c r="K10" s="98"/>
      <c r="L10" s="98"/>
      <c r="M10" s="98"/>
      <c r="N10" s="98"/>
      <c r="O10" s="98"/>
      <c r="P10" s="98"/>
      <c r="Q10" s="98"/>
      <c r="R10" s="98"/>
      <c r="S10" s="98"/>
      <c r="T10" s="98"/>
      <c r="U10" s="98"/>
      <c r="V10" s="98"/>
      <c r="W10" s="98"/>
      <c r="X10" s="98"/>
      <c r="Y10" s="98"/>
      <c r="Z10" s="98"/>
    </row>
    <row r="11" ht="13.5" customHeight="1" spans="1:26">
      <c r="A11" s="106"/>
      <c r="B11" s="107" t="s">
        <v>8</v>
      </c>
      <c r="C11" s="108" t="s">
        <v>9</v>
      </c>
      <c r="D11" s="108" t="s">
        <v>10</v>
      </c>
      <c r="E11" s="108" t="s">
        <v>11</v>
      </c>
      <c r="F11" s="108" t="s">
        <v>12</v>
      </c>
      <c r="G11" s="109" t="s">
        <v>13</v>
      </c>
      <c r="H11" s="110" t="s">
        <v>14</v>
      </c>
      <c r="I11" s="106"/>
      <c r="J11" s="106"/>
      <c r="K11" s="106"/>
      <c r="L11" s="106"/>
      <c r="M11" s="106"/>
      <c r="N11" s="106"/>
      <c r="O11" s="106"/>
      <c r="P11" s="106"/>
      <c r="Q11" s="106"/>
      <c r="R11" s="106"/>
      <c r="S11" s="106"/>
      <c r="T11" s="106"/>
      <c r="U11" s="106"/>
      <c r="V11" s="106"/>
      <c r="W11" s="106"/>
      <c r="X11" s="106"/>
      <c r="Y11" s="106"/>
      <c r="Z11" s="106"/>
    </row>
    <row r="12" ht="13.5" customHeight="1" spans="1:26">
      <c r="A12" s="106"/>
      <c r="B12" s="111"/>
      <c r="C12" s="112"/>
      <c r="D12" s="113"/>
      <c r="E12" s="114"/>
      <c r="F12" s="115"/>
      <c r="G12" s="116"/>
      <c r="H12" s="117"/>
      <c r="I12" s="106"/>
      <c r="J12" s="106"/>
      <c r="K12" s="106"/>
      <c r="L12" s="106"/>
      <c r="M12" s="106"/>
      <c r="N12" s="106"/>
      <c r="O12" s="106"/>
      <c r="P12" s="106"/>
      <c r="Q12" s="106"/>
      <c r="R12" s="106"/>
      <c r="S12" s="106"/>
      <c r="T12" s="106"/>
      <c r="U12" s="106"/>
      <c r="V12" s="106"/>
      <c r="W12" s="106"/>
      <c r="X12" s="106"/>
      <c r="Y12" s="106"/>
      <c r="Z12" s="106"/>
    </row>
    <row r="13" ht="13.5" customHeight="1" spans="1:26">
      <c r="A13" s="106"/>
      <c r="B13" s="5">
        <v>46141</v>
      </c>
      <c r="C13" s="112" t="s">
        <v>15</v>
      </c>
      <c r="D13" s="113"/>
      <c r="E13" s="114" t="s">
        <v>16</v>
      </c>
      <c r="F13" s="113" t="s">
        <v>17</v>
      </c>
      <c r="G13" s="12" t="s">
        <v>18</v>
      </c>
      <c r="H13" s="117" t="s">
        <v>19</v>
      </c>
      <c r="I13" s="106"/>
      <c r="J13" s="106"/>
      <c r="K13" s="106"/>
      <c r="L13" s="106"/>
      <c r="M13" s="106"/>
      <c r="N13" s="106"/>
      <c r="O13" s="106"/>
      <c r="P13" s="106"/>
      <c r="Q13" s="106"/>
      <c r="R13" s="106"/>
      <c r="S13" s="106"/>
      <c r="T13" s="106"/>
      <c r="U13" s="106"/>
      <c r="V13" s="106"/>
      <c r="W13" s="106"/>
      <c r="X13" s="106"/>
      <c r="Y13" s="106"/>
      <c r="Z13" s="106"/>
    </row>
    <row r="14" ht="13.5" customHeight="1" spans="1:26">
      <c r="A14" s="118"/>
      <c r="B14" s="111"/>
      <c r="C14" s="112"/>
      <c r="D14" s="113"/>
      <c r="E14" s="114"/>
      <c r="F14" s="115"/>
      <c r="G14" s="119"/>
      <c r="H14" s="117"/>
      <c r="I14" s="118"/>
      <c r="J14" s="118"/>
      <c r="K14" s="118"/>
      <c r="L14" s="118"/>
      <c r="M14" s="118"/>
      <c r="N14" s="118"/>
      <c r="O14" s="118"/>
      <c r="P14" s="118"/>
      <c r="Q14" s="118"/>
      <c r="R14" s="118"/>
      <c r="S14" s="118"/>
      <c r="T14" s="118"/>
      <c r="U14" s="118"/>
      <c r="V14" s="118"/>
      <c r="W14" s="118"/>
      <c r="X14" s="118"/>
      <c r="Y14" s="118"/>
      <c r="Z14" s="118"/>
    </row>
    <row r="15" ht="13.5" customHeight="1" spans="1:26">
      <c r="A15" s="118"/>
      <c r="B15" s="120"/>
      <c r="C15" s="121"/>
      <c r="D15" s="122"/>
      <c r="E15" s="122"/>
      <c r="F15" s="122"/>
      <c r="G15" s="122"/>
      <c r="H15" s="123"/>
      <c r="I15" s="118"/>
      <c r="J15" s="118"/>
      <c r="K15" s="118"/>
      <c r="L15" s="118"/>
      <c r="M15" s="118"/>
      <c r="N15" s="118"/>
      <c r="O15" s="118"/>
      <c r="P15" s="118"/>
      <c r="Q15" s="118"/>
      <c r="R15" s="118"/>
      <c r="S15" s="118"/>
      <c r="T15" s="118"/>
      <c r="U15" s="118"/>
      <c r="V15" s="118"/>
      <c r="W15" s="118"/>
      <c r="X15" s="118"/>
      <c r="Y15" s="118"/>
      <c r="Z15" s="118"/>
    </row>
    <row r="16" ht="13.5" customHeight="1" spans="1:26">
      <c r="A16" s="106"/>
      <c r="B16" s="111"/>
      <c r="C16" s="112"/>
      <c r="D16" s="113"/>
      <c r="E16" s="122"/>
      <c r="F16" s="122"/>
      <c r="G16" s="122"/>
      <c r="H16" s="124"/>
      <c r="I16" s="106"/>
      <c r="J16" s="106"/>
      <c r="K16" s="106"/>
      <c r="L16" s="106"/>
      <c r="M16" s="106"/>
      <c r="N16" s="106"/>
      <c r="O16" s="106"/>
      <c r="P16" s="106"/>
      <c r="Q16" s="106"/>
      <c r="R16" s="106"/>
      <c r="S16" s="106"/>
      <c r="T16" s="106"/>
      <c r="U16" s="106"/>
      <c r="V16" s="106"/>
      <c r="W16" s="106"/>
      <c r="X16" s="106"/>
      <c r="Y16" s="106"/>
      <c r="Z16" s="106"/>
    </row>
    <row r="17" ht="13.5" customHeight="1" spans="1:26">
      <c r="A17" s="106"/>
      <c r="B17" s="120"/>
      <c r="C17" s="121"/>
      <c r="D17" s="122"/>
      <c r="E17" s="122"/>
      <c r="F17" s="122"/>
      <c r="G17" s="122"/>
      <c r="H17" s="123"/>
      <c r="I17" s="106"/>
      <c r="J17" s="106"/>
      <c r="K17" s="106"/>
      <c r="L17" s="106"/>
      <c r="M17" s="106"/>
      <c r="N17" s="106"/>
      <c r="O17" s="106"/>
      <c r="P17" s="106"/>
      <c r="Q17" s="106"/>
      <c r="R17" s="106"/>
      <c r="S17" s="106"/>
      <c r="T17" s="106"/>
      <c r="U17" s="106"/>
      <c r="V17" s="106"/>
      <c r="W17" s="106"/>
      <c r="X17" s="106"/>
      <c r="Y17" s="106"/>
      <c r="Z17" s="106"/>
    </row>
    <row r="18" ht="13.5" customHeight="1" spans="1:26">
      <c r="A18" s="106"/>
      <c r="B18" s="120"/>
      <c r="C18" s="121"/>
      <c r="D18" s="122"/>
      <c r="E18" s="122"/>
      <c r="F18" s="122"/>
      <c r="G18" s="122"/>
      <c r="H18" s="123"/>
      <c r="I18" s="106"/>
      <c r="J18" s="106"/>
      <c r="K18" s="106"/>
      <c r="L18" s="106"/>
      <c r="M18" s="106"/>
      <c r="N18" s="106"/>
      <c r="O18" s="106"/>
      <c r="P18" s="106"/>
      <c r="Q18" s="106"/>
      <c r="R18" s="106"/>
      <c r="S18" s="106"/>
      <c r="T18" s="106"/>
      <c r="U18" s="106"/>
      <c r="V18" s="106"/>
      <c r="W18" s="106"/>
      <c r="X18" s="106"/>
      <c r="Y18" s="106"/>
      <c r="Z18" s="106"/>
    </row>
    <row r="19" ht="13.5" customHeight="1" spans="1:26">
      <c r="A19" s="106"/>
      <c r="B19" s="120"/>
      <c r="C19" s="121"/>
      <c r="D19" s="122"/>
      <c r="E19" s="122"/>
      <c r="F19" s="122"/>
      <c r="G19" s="122"/>
      <c r="H19" s="123"/>
      <c r="I19" s="106"/>
      <c r="J19" s="106"/>
      <c r="K19" s="106"/>
      <c r="L19" s="106"/>
      <c r="M19" s="106"/>
      <c r="N19" s="106"/>
      <c r="O19" s="106"/>
      <c r="P19" s="106"/>
      <c r="Q19" s="106"/>
      <c r="R19" s="106"/>
      <c r="S19" s="106"/>
      <c r="T19" s="106"/>
      <c r="U19" s="106"/>
      <c r="V19" s="106"/>
      <c r="W19" s="106"/>
      <c r="X19" s="106"/>
      <c r="Y19" s="106"/>
      <c r="Z19" s="106"/>
    </row>
    <row r="20" ht="13.5" customHeight="1" spans="1:26">
      <c r="A20" s="106"/>
      <c r="B20" s="120"/>
      <c r="C20" s="121"/>
      <c r="D20" s="122"/>
      <c r="E20" s="122"/>
      <c r="F20" s="122"/>
      <c r="G20" s="122"/>
      <c r="H20" s="123"/>
      <c r="I20" s="106"/>
      <c r="J20" s="106"/>
      <c r="K20" s="106"/>
      <c r="L20" s="106"/>
      <c r="M20" s="106"/>
      <c r="N20" s="106"/>
      <c r="O20" s="106"/>
      <c r="P20" s="106"/>
      <c r="Q20" s="106"/>
      <c r="R20" s="106"/>
      <c r="S20" s="106"/>
      <c r="T20" s="106"/>
      <c r="U20" s="106"/>
      <c r="V20" s="106"/>
      <c r="W20" s="106"/>
      <c r="X20" s="106"/>
      <c r="Y20" s="106"/>
      <c r="Z20" s="106"/>
    </row>
    <row r="21" ht="13.5" customHeight="1" spans="1:26">
      <c r="A21" s="106"/>
      <c r="B21" s="120"/>
      <c r="C21" s="121"/>
      <c r="D21" s="122"/>
      <c r="E21" s="122"/>
      <c r="F21" s="122"/>
      <c r="G21" s="122"/>
      <c r="H21" s="123"/>
      <c r="I21" s="106"/>
      <c r="J21" s="106"/>
      <c r="K21" s="106"/>
      <c r="L21" s="106"/>
      <c r="M21" s="106"/>
      <c r="N21" s="106"/>
      <c r="O21" s="106"/>
      <c r="P21" s="106"/>
      <c r="Q21" s="106"/>
      <c r="R21" s="106"/>
      <c r="S21" s="106"/>
      <c r="T21" s="106"/>
      <c r="U21" s="106"/>
      <c r="V21" s="106"/>
      <c r="W21" s="106"/>
      <c r="X21" s="106"/>
      <c r="Y21" s="106"/>
      <c r="Z21" s="106"/>
    </row>
    <row r="22" ht="13.5" customHeight="1" spans="1:26">
      <c r="A22" s="106"/>
      <c r="B22" s="120"/>
      <c r="C22" s="121"/>
      <c r="D22" s="122"/>
      <c r="E22" s="122"/>
      <c r="F22" s="122"/>
      <c r="G22" s="122"/>
      <c r="H22" s="123"/>
      <c r="I22" s="106"/>
      <c r="J22" s="106"/>
      <c r="K22" s="106"/>
      <c r="L22" s="106"/>
      <c r="M22" s="106"/>
      <c r="N22" s="106"/>
      <c r="O22" s="106"/>
      <c r="P22" s="106"/>
      <c r="Q22" s="106"/>
      <c r="R22" s="106"/>
      <c r="S22" s="106"/>
      <c r="T22" s="106"/>
      <c r="U22" s="106"/>
      <c r="V22" s="106"/>
      <c r="W22" s="106"/>
      <c r="X22" s="106"/>
      <c r="Y22" s="106"/>
      <c r="Z22" s="106"/>
    </row>
    <row r="23" ht="13.5" customHeight="1" spans="1:26">
      <c r="A23" s="106"/>
      <c r="B23" s="125"/>
      <c r="C23" s="126"/>
      <c r="D23" s="127"/>
      <c r="E23" s="127"/>
      <c r="F23" s="127"/>
      <c r="G23" s="127"/>
      <c r="H23" s="128"/>
      <c r="I23" s="106"/>
      <c r="J23" s="106"/>
      <c r="K23" s="106"/>
      <c r="L23" s="106"/>
      <c r="M23" s="106"/>
      <c r="N23" s="106"/>
      <c r="O23" s="106"/>
      <c r="P23" s="106"/>
      <c r="Q23" s="106"/>
      <c r="R23" s="106"/>
      <c r="S23" s="106"/>
      <c r="T23" s="106"/>
      <c r="U23" s="106"/>
      <c r="V23" s="106"/>
      <c r="W23" s="106"/>
      <c r="X23" s="106"/>
      <c r="Y23" s="106"/>
      <c r="Z23" s="106"/>
    </row>
    <row r="24" ht="13.5" customHeight="1" spans="1:26">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ht="13.5" customHeight="1" spans="1:26">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ht="13.5" customHeight="1" spans="1: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ht="13.5" customHeight="1" spans="1:26">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ht="13.5" customHeight="1" spans="1:26">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ht="13.5" customHeight="1" spans="1:26">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ht="13.5" customHeight="1" spans="1:26">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ht="13.5" customHeight="1" spans="1:26">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ht="13.5" customHeight="1" spans="1:26">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ht="13.5" customHeight="1" spans="1:26">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ht="13.5" customHeight="1" spans="1:26">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ht="13.5" customHeight="1" spans="1:26">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ht="13.5" customHeight="1" spans="1:2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ht="13.5" customHeight="1" spans="1:26">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ht="13.5" customHeight="1" spans="1:26">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ht="13.5" customHeight="1" spans="1:26">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ht="13.5" customHeight="1" spans="1:26">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ht="13.5" customHeight="1" spans="1:26">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ht="13.5" customHeight="1" spans="1:26">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ht="13.5" customHeight="1" spans="1:26">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ht="13.5" customHeight="1" spans="1:26">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ht="13.5" customHeight="1" spans="1:26">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ht="13.5" customHeight="1" spans="1:2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ht="13.5" customHeight="1" spans="1:26">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ht="13.5" customHeight="1" spans="1:26">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ht="13.5" customHeight="1" spans="1:26">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ht="13.5" customHeight="1" spans="1:26">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ht="13.5" customHeight="1" spans="1:26">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ht="13.5" customHeight="1" spans="1:26">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ht="13.5" customHeight="1" spans="1:26">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ht="13.5" customHeight="1" spans="1:26">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ht="13.5" customHeight="1" spans="1:26">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ht="13.5" customHeight="1" spans="1:2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ht="13.5" customHeight="1" spans="1:26">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ht="13.5" customHeight="1" spans="1:26">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ht="13.5" customHeight="1" spans="1:26">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ht="13.5" customHeight="1" spans="1:26">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ht="13.5" customHeight="1" spans="1:26">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ht="13.5" customHeight="1" spans="1:26">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ht="13.5" customHeight="1" spans="1:26">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ht="13.5" customHeight="1" spans="1:26">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ht="13.5" customHeight="1" spans="1:26">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ht="13.5" customHeight="1" spans="1:2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ht="13.5" customHeight="1" spans="1:26">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ht="13.5" customHeight="1" spans="1:26">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ht="13.5" customHeight="1" spans="1:26">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ht="13.5" customHeight="1" spans="1:26">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ht="13.5" customHeight="1" spans="1:26">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ht="13.5" customHeight="1" spans="1:26">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ht="13.5" customHeight="1" spans="1:26">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ht="13.5" customHeight="1" spans="1:26">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ht="13.5" customHeight="1" spans="1:26">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ht="13.5" customHeight="1" spans="1:2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ht="13.5" customHeight="1" spans="1:26">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ht="13.5" customHeight="1" spans="1:26">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ht="13.5" customHeight="1" spans="1:26">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ht="13.5" customHeight="1" spans="1:26">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ht="13.5" customHeight="1" spans="1:26">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ht="13.5" customHeight="1" spans="1:26">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ht="13.5" customHeight="1" spans="1:26">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ht="13.5" customHeight="1" spans="1:26">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ht="13.5" customHeight="1" spans="1:26">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ht="13.5" customHeight="1" spans="1:2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ht="13.5" customHeight="1" spans="1:26">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ht="13.5" customHeight="1" spans="1:26">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ht="13.5" customHeight="1" spans="1:26">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ht="13.5" customHeight="1" spans="1:26">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ht="13.5" customHeight="1" spans="1:26">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ht="13.5" customHeight="1" spans="1:26">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ht="13.5" customHeight="1" spans="1:26">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ht="13.5" customHeight="1" spans="1:26">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ht="13.5" customHeight="1" spans="1:26">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ht="13.5" customHeight="1" spans="1:2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ht="13.5" customHeight="1" spans="1:26">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ht="13.5" customHeight="1" spans="1:26">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ht="13.5" customHeight="1" spans="1:26">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ht="13.5" customHeight="1" spans="1:26">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ht="13.5" customHeight="1" spans="1:26">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ht="13.5" customHeight="1" spans="1:26">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ht="13.5" customHeight="1" spans="1:26">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ht="13.5" customHeight="1" spans="1:26">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ht="13.5" customHeight="1" spans="1:26">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ht="13.5" customHeight="1" spans="1:2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ht="13.5" customHeight="1" spans="1:26">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ht="13.5" customHeight="1" spans="1:26">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ht="13.5" customHeight="1" spans="1:26">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ht="13.5" customHeight="1" spans="1:26">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ht="13.5" customHeight="1" spans="1:26">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ht="13.5" customHeight="1" spans="1:26">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ht="13.5" customHeight="1" spans="1:26">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ht="13.5" customHeight="1" spans="1:26">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ht="13.5" customHeight="1" spans="1:26">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ht="13.5" customHeight="1" spans="1:2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ht="13.5" customHeight="1" spans="1:26">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ht="13.5" customHeight="1" spans="1:26">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ht="13.5" customHeight="1" spans="1:26">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ht="13.5" customHeight="1" spans="1:26">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ht="13.5" customHeight="1" spans="1:26">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ht="13.5" customHeight="1" spans="1:26">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ht="13.5" customHeight="1" spans="1:26">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ht="13.5" customHeight="1" spans="1:26">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ht="13.5" customHeight="1" spans="1:26">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ht="13.5" customHeight="1" spans="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ht="13.5" customHeight="1" spans="1:26">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ht="13.5" customHeight="1" spans="1:26">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ht="13.5" customHeight="1" spans="1:26">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ht="13.5" customHeight="1" spans="1:26">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ht="13.5" customHeight="1" spans="1:26">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ht="13.5" customHeight="1" spans="1:26">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ht="13.5" customHeight="1" spans="1:26">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ht="13.5" customHeight="1" spans="1:26">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ht="13.5" customHeight="1" spans="1:26">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ht="13.5" customHeight="1" spans="1:2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ht="13.5" customHeight="1" spans="1:26">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ht="13.5" customHeight="1" spans="1:26">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ht="13.5" customHeight="1" spans="1:26">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ht="13.5" customHeight="1" spans="1:26">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ht="13.5" customHeight="1" spans="1:26">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ht="13.5" customHeight="1" spans="1:26">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ht="13.5" customHeight="1" spans="1:26">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ht="13.5" customHeight="1" spans="1:26">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ht="13.5" customHeight="1" spans="1:26">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ht="13.5" customHeight="1" spans="1:2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ht="13.5" customHeight="1" spans="1:26">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ht="13.5" customHeight="1" spans="1:26">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ht="13.5" customHeight="1" spans="1:26">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ht="13.5" customHeight="1" spans="1:26">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ht="13.5" customHeight="1" spans="1:26">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ht="13.5" customHeight="1" spans="1:26">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ht="13.5" customHeight="1" spans="1:26">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ht="13.5" customHeight="1" spans="1:26">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ht="13.5" customHeight="1" spans="1:26">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ht="13.5" customHeight="1" spans="1:2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ht="13.5" customHeight="1" spans="1:26">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ht="13.5" customHeight="1" spans="1:26">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ht="13.5" customHeight="1" spans="1:26">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ht="13.5" customHeight="1" spans="1:26">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ht="13.5" customHeight="1" spans="1:26">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ht="13.5" customHeight="1" spans="1:26">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ht="13.5" customHeight="1" spans="1:26">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ht="13.5" customHeight="1" spans="1:26">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ht="13.5" customHeight="1" spans="1:26">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ht="13.5" customHeight="1" spans="1:2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ht="13.5" customHeight="1" spans="1:26">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ht="13.5" customHeight="1" spans="1:26">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ht="13.5" customHeight="1" spans="1:26">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ht="13.5" customHeight="1" spans="1:26">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ht="13.5" customHeight="1" spans="1:26">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ht="13.5" customHeight="1" spans="1:26">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ht="13.5" customHeight="1" spans="1:26">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ht="13.5" customHeight="1" spans="1:26">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ht="13.5" customHeight="1" spans="1:26">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ht="13.5" customHeight="1" spans="1:2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ht="13.5" customHeight="1" spans="1:26">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ht="13.5" customHeight="1" spans="1:26">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ht="13.5" customHeight="1" spans="1:26">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ht="13.5" customHeight="1" spans="1:26">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ht="13.5" customHeight="1" spans="1:26">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ht="13.5" customHeight="1" spans="1:26">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ht="13.5" customHeight="1" spans="1:26">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ht="13.5" customHeight="1" spans="1:26">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ht="13.5" customHeight="1" spans="1:26">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ht="13.5" customHeight="1" spans="1:2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ht="13.5" customHeight="1" spans="1:26">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ht="13.5" customHeight="1" spans="1:26">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ht="13.5" customHeight="1" spans="1:26">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ht="13.5" customHeight="1" spans="1:26">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ht="13.5" customHeight="1" spans="1:26">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ht="13.5" customHeight="1" spans="1:26">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ht="13.5" customHeight="1" spans="1:26">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ht="13.5" customHeight="1" spans="1:26">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ht="13.5" customHeight="1" spans="1:26">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ht="13.5" customHeight="1" spans="1:2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ht="13.5" customHeight="1" spans="1:26">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ht="13.5" customHeight="1" spans="1:26">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ht="13.5" customHeight="1" spans="1:26">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ht="13.5" customHeight="1" spans="1:26">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ht="13.5" customHeight="1" spans="1:26">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ht="13.5" customHeight="1" spans="1:26">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ht="13.5" customHeight="1" spans="1:26">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ht="13.5" customHeight="1" spans="1:26">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ht="13.5" customHeight="1" spans="1:26">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ht="13.5" customHeight="1" spans="1:2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ht="13.5" customHeight="1" spans="1:26">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ht="13.5" customHeight="1" spans="1:26">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ht="13.5" customHeight="1" spans="1:26">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ht="13.5" customHeight="1" spans="1:26">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ht="13.5" customHeight="1" spans="1:26">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ht="13.5" customHeight="1" spans="1:26">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ht="13.5" customHeight="1" spans="1:26">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ht="13.5" customHeight="1" spans="1:26">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ht="13.5" customHeight="1" spans="1:26">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ht="13.5" customHeight="1" spans="1:2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ht="13.5" customHeight="1" spans="1:26">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ht="13.5" customHeight="1" spans="1:26">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ht="13.5" customHeight="1" spans="1:26">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ht="13.5" customHeight="1" spans="1:26">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6:E6"/>
    <mergeCell ref="C7:E7"/>
  </mergeCells>
  <pageMargins left="0.37" right="0.47" top="0.5" bottom="0.38" header="0" footer="0"/>
  <pageSetup paperSize="9" orientation="landscape"/>
  <headerFooter>
    <oddFooter>&amp;L 02ae-BM/PM/HDCV/FSOFT v1/0&amp;R&amp;P/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 customHeight="1"/>
  <cols>
    <col min="1" max="1" width="15.6296296296296" customWidth="1"/>
    <col min="2" max="2" width="18.1296296296296" customWidth="1"/>
    <col min="3" max="3" width="42.1296296296296" customWidth="1"/>
    <col min="4" max="5" width="8.87962962962963" customWidth="1"/>
    <col min="6" max="6" width="23.6296296296296" customWidth="1"/>
    <col min="7" max="7" width="18.5" hidden="1" customWidth="1"/>
    <col min="8" max="8" width="38" customWidth="1"/>
    <col min="9" max="9" width="17.1296296296296" customWidth="1"/>
    <col min="10" max="10" width="9" customWidth="1"/>
    <col min="11" max="11" width="18" customWidth="1"/>
    <col min="12" max="26" width="8.87962962962963" customWidth="1"/>
  </cols>
  <sheetData>
    <row r="1" ht="12.75" customHeight="1" spans="1:26">
      <c r="A1" s="29" t="s">
        <v>0</v>
      </c>
      <c r="B1" s="30"/>
      <c r="C1" s="31"/>
      <c r="D1" s="31"/>
      <c r="E1" s="32"/>
      <c r="F1" s="32"/>
      <c r="G1" s="32"/>
      <c r="H1" s="32"/>
      <c r="I1" s="32"/>
      <c r="J1" s="33"/>
      <c r="K1" s="32"/>
      <c r="L1" s="34"/>
      <c r="M1" s="35"/>
      <c r="N1" s="35"/>
      <c r="O1" s="35"/>
      <c r="P1" s="35"/>
      <c r="Q1" s="35"/>
      <c r="R1" s="35"/>
      <c r="S1" s="35"/>
      <c r="T1" s="35"/>
      <c r="U1" s="35"/>
      <c r="V1" s="35"/>
      <c r="W1" s="35"/>
      <c r="X1" s="35"/>
      <c r="Y1" s="35"/>
      <c r="Z1" s="35"/>
    </row>
    <row r="2" ht="11.25" customHeight="1" spans="1:26">
      <c r="A2" s="34"/>
      <c r="B2" s="36"/>
      <c r="C2" s="36"/>
      <c r="D2" s="36"/>
      <c r="E2" s="32"/>
      <c r="F2" s="32"/>
      <c r="G2" s="32"/>
      <c r="H2" s="32"/>
      <c r="I2" s="32"/>
      <c r="J2" s="33"/>
      <c r="K2" s="32"/>
      <c r="L2" s="34"/>
      <c r="M2" s="35"/>
      <c r="N2" s="35"/>
      <c r="O2" s="35"/>
      <c r="P2" s="35"/>
      <c r="Q2" s="35"/>
      <c r="R2" s="35"/>
      <c r="S2" s="35"/>
      <c r="T2" s="35"/>
      <c r="U2" s="35"/>
      <c r="V2" s="35"/>
      <c r="W2" s="35"/>
      <c r="X2" s="35"/>
      <c r="Y2" s="35"/>
      <c r="Z2" s="35"/>
    </row>
    <row r="3" ht="13.2" spans="1:26">
      <c r="A3" s="37" t="s">
        <v>20</v>
      </c>
      <c r="B3" s="38" t="s">
        <v>4</v>
      </c>
      <c r="C3" s="39"/>
      <c r="D3" s="40"/>
      <c r="E3" s="41"/>
      <c r="F3" s="41"/>
      <c r="G3" s="41"/>
      <c r="H3" s="41"/>
      <c r="I3" s="42"/>
      <c r="J3" s="31"/>
      <c r="K3" s="31"/>
      <c r="L3" s="43"/>
      <c r="M3" s="44"/>
      <c r="N3" s="44"/>
      <c r="O3" s="44"/>
      <c r="P3" s="44"/>
      <c r="Q3" s="44"/>
      <c r="R3" s="44"/>
      <c r="S3" s="44"/>
      <c r="T3" s="44"/>
      <c r="U3" s="44"/>
      <c r="V3" s="44"/>
      <c r="W3" s="44"/>
      <c r="X3" s="44"/>
      <c r="Y3" s="44"/>
      <c r="Z3" s="44"/>
    </row>
    <row r="4" ht="12.75" customHeight="1" spans="1:26">
      <c r="A4" s="45" t="s">
        <v>21</v>
      </c>
      <c r="B4" s="46" t="s">
        <v>22</v>
      </c>
      <c r="C4" s="47"/>
      <c r="D4" s="48"/>
      <c r="E4" s="41"/>
      <c r="F4" s="41"/>
      <c r="G4" s="41"/>
      <c r="H4" s="41"/>
      <c r="I4" s="42"/>
      <c r="J4" s="31"/>
      <c r="K4" s="31"/>
      <c r="L4" s="43"/>
      <c r="M4" s="44"/>
      <c r="N4" s="44"/>
      <c r="O4" s="44"/>
      <c r="P4" s="44"/>
      <c r="Q4" s="44"/>
      <c r="R4" s="44"/>
      <c r="S4" s="44"/>
      <c r="T4" s="44"/>
      <c r="U4" s="44"/>
      <c r="V4" s="44"/>
      <c r="W4" s="44"/>
      <c r="X4" s="44"/>
      <c r="Y4" s="44"/>
      <c r="Z4" s="44"/>
    </row>
    <row r="5" ht="12.75" customHeight="1" spans="1:26">
      <c r="A5" s="45" t="s">
        <v>23</v>
      </c>
      <c r="B5" s="49" t="s">
        <v>24</v>
      </c>
      <c r="C5" s="47"/>
      <c r="D5" s="48"/>
      <c r="E5" s="50"/>
      <c r="F5" s="50"/>
      <c r="G5" s="50"/>
      <c r="H5" s="50"/>
      <c r="I5" s="51"/>
      <c r="J5" s="31"/>
      <c r="K5" s="31"/>
      <c r="L5" s="52"/>
      <c r="M5" s="53"/>
      <c r="N5" s="53"/>
      <c r="O5" s="53"/>
      <c r="P5" s="53"/>
      <c r="Q5" s="53"/>
      <c r="R5" s="53"/>
      <c r="S5" s="53"/>
      <c r="T5" s="53"/>
      <c r="U5" s="53"/>
      <c r="V5" s="53"/>
      <c r="W5" s="53"/>
      <c r="X5" s="53"/>
      <c r="Y5" s="53"/>
      <c r="Z5" s="53"/>
    </row>
    <row r="6" ht="13.2" spans="1:26">
      <c r="A6" s="54" t="s">
        <v>25</v>
      </c>
      <c r="B6" s="55">
        <f>COUNTIF(J12:J17,"Pass")</f>
        <v>3</v>
      </c>
      <c r="C6" s="56" t="s">
        <v>26</v>
      </c>
      <c r="D6" s="57">
        <f>COUNTIF(J10:J736,"Pending")</f>
        <v>0</v>
      </c>
      <c r="E6" s="42"/>
      <c r="F6" s="42"/>
      <c r="G6" s="42"/>
      <c r="H6" s="42"/>
      <c r="I6" s="42"/>
      <c r="J6" s="31"/>
      <c r="K6" s="31"/>
      <c r="L6" s="43"/>
      <c r="M6" s="44"/>
      <c r="N6" s="44"/>
      <c r="O6" s="44"/>
      <c r="P6" s="44"/>
      <c r="Q6" s="44"/>
      <c r="R6" s="44"/>
      <c r="S6" s="44"/>
      <c r="T6" s="44"/>
      <c r="U6" s="44"/>
      <c r="V6" s="44"/>
      <c r="W6" s="44"/>
      <c r="X6" s="44"/>
      <c r="Y6" s="44"/>
      <c r="Z6" s="44"/>
    </row>
    <row r="7" ht="13.95" spans="1:26">
      <c r="A7" s="58" t="s">
        <v>27</v>
      </c>
      <c r="B7" s="59">
        <f>COUNTIF(J12:J17,"Fail")</f>
        <v>0</v>
      </c>
      <c r="C7" s="60" t="s">
        <v>28</v>
      </c>
      <c r="D7" s="61">
        <f>COUNTA(A12:A100)-4</f>
        <v>3</v>
      </c>
      <c r="E7" s="62"/>
      <c r="F7" s="62"/>
      <c r="G7" s="62"/>
      <c r="H7" s="62"/>
      <c r="I7" s="42"/>
      <c r="J7" s="31"/>
      <c r="K7" s="31"/>
      <c r="L7" s="43"/>
      <c r="M7" s="44"/>
      <c r="N7" s="44"/>
      <c r="O7" s="44"/>
      <c r="P7" s="44"/>
      <c r="Q7" s="44"/>
      <c r="R7" s="44"/>
      <c r="S7" s="44"/>
      <c r="T7" s="44"/>
      <c r="U7" s="44"/>
      <c r="V7" s="44"/>
      <c r="W7" s="44"/>
      <c r="X7" s="44"/>
      <c r="Y7" s="44"/>
      <c r="Z7" s="44"/>
    </row>
    <row r="8" ht="13.2" spans="1:26">
      <c r="A8" s="63"/>
      <c r="B8" s="39"/>
      <c r="C8" s="39"/>
      <c r="D8" s="39"/>
      <c r="E8" s="42"/>
      <c r="F8" s="42"/>
      <c r="G8" s="42"/>
      <c r="H8" s="42"/>
      <c r="I8" s="42"/>
      <c r="J8" s="64"/>
      <c r="K8" s="64"/>
      <c r="L8" s="43"/>
      <c r="M8" s="44"/>
      <c r="N8" s="44"/>
      <c r="O8" s="44"/>
      <c r="P8" s="44"/>
      <c r="Q8" s="44"/>
      <c r="R8" s="44"/>
      <c r="S8" s="44"/>
      <c r="T8" s="44"/>
      <c r="U8" s="44"/>
      <c r="V8" s="44"/>
      <c r="W8" s="44"/>
      <c r="X8" s="44"/>
      <c r="Y8" s="44"/>
      <c r="Z8" s="44"/>
    </row>
    <row r="9" ht="12" customHeight="1" spans="1:26">
      <c r="A9" s="65" t="s">
        <v>29</v>
      </c>
      <c r="B9" s="66" t="s">
        <v>30</v>
      </c>
      <c r="C9" s="65" t="s">
        <v>31</v>
      </c>
      <c r="D9" s="67" t="s">
        <v>32</v>
      </c>
      <c r="E9" s="31"/>
      <c r="F9" s="31"/>
      <c r="G9" s="68"/>
      <c r="H9" s="65" t="s">
        <v>33</v>
      </c>
      <c r="I9" s="69" t="s">
        <v>34</v>
      </c>
      <c r="J9" s="69" t="s">
        <v>35</v>
      </c>
      <c r="K9" s="69" t="s">
        <v>36</v>
      </c>
      <c r="L9" s="70"/>
      <c r="M9" s="71"/>
      <c r="N9" s="71"/>
      <c r="O9" s="71"/>
      <c r="P9" s="71"/>
      <c r="Q9" s="71"/>
      <c r="R9" s="71"/>
      <c r="S9" s="71"/>
      <c r="T9" s="71"/>
      <c r="U9" s="71"/>
      <c r="V9" s="71"/>
      <c r="W9" s="71"/>
      <c r="X9" s="71"/>
      <c r="Y9" s="71"/>
      <c r="Z9" s="71"/>
    </row>
    <row r="10" ht="12" customHeight="1" spans="1:26">
      <c r="A10" s="72"/>
      <c r="B10" s="72"/>
      <c r="C10" s="72"/>
      <c r="D10" s="73"/>
      <c r="E10" s="74"/>
      <c r="F10" s="74"/>
      <c r="G10" s="75"/>
      <c r="H10" s="72"/>
      <c r="I10" s="72"/>
      <c r="J10" s="72"/>
      <c r="K10" s="72"/>
      <c r="L10" s="43"/>
      <c r="M10" s="44"/>
      <c r="N10" s="44"/>
      <c r="O10" s="44"/>
      <c r="P10" s="44"/>
      <c r="Q10" s="44"/>
      <c r="R10" s="44"/>
      <c r="S10" s="44"/>
      <c r="T10" s="44"/>
      <c r="U10" s="44"/>
      <c r="V10" s="44"/>
      <c r="W10" s="44"/>
      <c r="X10" s="44"/>
      <c r="Y10" s="44"/>
      <c r="Z10" s="44"/>
    </row>
    <row r="11" ht="12.75" customHeight="1" spans="1:26">
      <c r="A11" s="76"/>
      <c r="B11" s="47"/>
      <c r="C11" s="47"/>
      <c r="D11" s="47"/>
      <c r="E11" s="47"/>
      <c r="F11" s="47"/>
      <c r="G11" s="47"/>
      <c r="H11" s="47"/>
      <c r="I11" s="47"/>
      <c r="J11" s="47"/>
      <c r="K11" s="77"/>
      <c r="L11" s="78"/>
      <c r="M11" s="78"/>
      <c r="N11" s="78"/>
      <c r="O11" s="78"/>
      <c r="P11" s="78"/>
      <c r="Q11" s="78"/>
      <c r="R11" s="78"/>
      <c r="S11" s="78"/>
      <c r="T11" s="78"/>
      <c r="U11" s="78"/>
      <c r="V11" s="78"/>
      <c r="W11" s="78"/>
      <c r="X11" s="78"/>
      <c r="Y11" s="78"/>
      <c r="Z11" s="78"/>
    </row>
    <row r="12" ht="12.75" customHeight="1" spans="1:26">
      <c r="A12" s="79" t="s">
        <v>37</v>
      </c>
      <c r="B12" s="47"/>
      <c r="C12" s="47"/>
      <c r="D12" s="47"/>
      <c r="E12" s="47"/>
      <c r="F12" s="47"/>
      <c r="G12" s="47"/>
      <c r="H12" s="47"/>
      <c r="I12" s="47"/>
      <c r="J12" s="47"/>
      <c r="K12" s="77"/>
      <c r="L12" s="80"/>
      <c r="M12" s="80"/>
      <c r="N12" s="80"/>
      <c r="O12" s="80"/>
      <c r="P12" s="80"/>
      <c r="Q12" s="80"/>
      <c r="R12" s="80"/>
      <c r="S12" s="80"/>
      <c r="T12" s="80"/>
      <c r="U12" s="80"/>
      <c r="V12" s="80"/>
      <c r="W12" s="80"/>
      <c r="X12" s="80"/>
      <c r="Y12" s="80"/>
      <c r="Z12" s="80"/>
    </row>
    <row r="13" ht="12.75" customHeight="1" outlineLevel="1" spans="1:26">
      <c r="A13" s="81" t="s">
        <v>38</v>
      </c>
      <c r="B13" s="82" t="s">
        <v>39</v>
      </c>
      <c r="C13" s="83" t="s">
        <v>40</v>
      </c>
      <c r="D13" s="84" t="s">
        <v>41</v>
      </c>
      <c r="E13" s="47"/>
      <c r="F13" s="47"/>
      <c r="G13" s="85"/>
      <c r="H13" s="86"/>
      <c r="I13" s="87"/>
      <c r="J13" s="83" t="s">
        <v>25</v>
      </c>
      <c r="K13" s="83"/>
      <c r="L13" s="80"/>
      <c r="M13" s="80"/>
      <c r="N13" s="80"/>
      <c r="O13" s="80"/>
      <c r="P13" s="80"/>
      <c r="Q13" s="80"/>
      <c r="R13" s="80"/>
      <c r="S13" s="80"/>
      <c r="T13" s="80"/>
      <c r="U13" s="80"/>
      <c r="V13" s="80"/>
      <c r="W13" s="80"/>
      <c r="X13" s="80"/>
      <c r="Y13" s="80"/>
      <c r="Z13" s="80"/>
    </row>
    <row r="14" ht="12.75" customHeight="1" outlineLevel="1" spans="1:26">
      <c r="A14" s="79" t="s">
        <v>42</v>
      </c>
      <c r="B14" s="47"/>
      <c r="C14" s="47"/>
      <c r="D14" s="93"/>
      <c r="E14" s="93"/>
      <c r="F14" s="93"/>
      <c r="G14" s="93"/>
      <c r="H14" s="93"/>
      <c r="I14" s="93"/>
      <c r="J14" s="93"/>
      <c r="K14" s="94"/>
      <c r="L14" s="80"/>
      <c r="M14" s="80"/>
      <c r="N14" s="80"/>
      <c r="O14" s="80"/>
      <c r="P14" s="80"/>
      <c r="Q14" s="80"/>
      <c r="R14" s="80"/>
      <c r="S14" s="80"/>
      <c r="T14" s="80"/>
      <c r="U14" s="80"/>
      <c r="V14" s="80"/>
      <c r="W14" s="80"/>
      <c r="X14" s="80"/>
      <c r="Y14" s="80"/>
      <c r="Z14" s="80"/>
    </row>
    <row r="15" ht="63.75" customHeight="1" outlineLevel="1" spans="1:26">
      <c r="A15" s="81" t="s">
        <v>43</v>
      </c>
      <c r="B15" s="95" t="s">
        <v>44</v>
      </c>
      <c r="C15" s="89" t="s">
        <v>45</v>
      </c>
      <c r="D15" s="96" t="s">
        <v>46</v>
      </c>
      <c r="E15" s="47"/>
      <c r="F15" s="47"/>
      <c r="G15" s="85"/>
      <c r="H15" s="86"/>
      <c r="I15" s="84"/>
      <c r="J15" s="83" t="s">
        <v>25</v>
      </c>
      <c r="K15" s="83"/>
      <c r="L15" s="80"/>
      <c r="M15" s="80"/>
      <c r="N15" s="80"/>
      <c r="O15" s="80"/>
      <c r="P15" s="80"/>
      <c r="Q15" s="80"/>
      <c r="R15" s="80"/>
      <c r="S15" s="80"/>
      <c r="T15" s="80"/>
      <c r="U15" s="80"/>
      <c r="V15" s="80"/>
      <c r="W15" s="80"/>
      <c r="X15" s="80"/>
      <c r="Y15" s="80"/>
      <c r="Z15" s="80"/>
    </row>
    <row r="16" ht="12.75" customHeight="1" outlineLevel="1" spans="1:26">
      <c r="A16" s="79" t="s">
        <v>47</v>
      </c>
      <c r="B16" s="47"/>
      <c r="C16" s="47"/>
      <c r="D16" s="93"/>
      <c r="E16" s="93"/>
      <c r="F16" s="93"/>
      <c r="G16" s="93"/>
      <c r="H16" s="93"/>
      <c r="I16" s="93"/>
      <c r="J16" s="93"/>
      <c r="K16" s="94"/>
      <c r="L16" s="80"/>
      <c r="M16" s="80"/>
      <c r="N16" s="80"/>
      <c r="O16" s="80"/>
      <c r="P16" s="80"/>
      <c r="Q16" s="80"/>
      <c r="R16" s="80"/>
      <c r="S16" s="80"/>
      <c r="T16" s="80"/>
      <c r="U16" s="80"/>
      <c r="V16" s="80"/>
      <c r="W16" s="80"/>
      <c r="X16" s="80"/>
      <c r="Y16" s="80"/>
      <c r="Z16" s="80"/>
    </row>
    <row r="17" ht="63.75" customHeight="1" outlineLevel="1" spans="1:26">
      <c r="A17" s="81" t="s">
        <v>48</v>
      </c>
      <c r="B17" s="97" t="s">
        <v>44</v>
      </c>
      <c r="C17" s="83" t="s">
        <v>49</v>
      </c>
      <c r="D17" s="96" t="s">
        <v>50</v>
      </c>
      <c r="E17" s="47"/>
      <c r="F17" s="47"/>
      <c r="G17" s="85"/>
      <c r="H17" s="86"/>
      <c r="I17" s="84"/>
      <c r="J17" s="83" t="s">
        <v>25</v>
      </c>
      <c r="K17" s="83"/>
      <c r="L17" s="80"/>
      <c r="M17" s="80"/>
      <c r="N17" s="80"/>
      <c r="O17" s="80"/>
      <c r="P17" s="80"/>
      <c r="Q17" s="80"/>
      <c r="R17" s="80"/>
      <c r="S17" s="80"/>
      <c r="T17" s="80"/>
      <c r="U17" s="80"/>
      <c r="V17" s="80"/>
      <c r="W17" s="80"/>
      <c r="X17" s="80"/>
      <c r="Y17" s="80"/>
      <c r="Z17" s="80"/>
    </row>
    <row r="18" ht="12" customHeight="1" spans="1:26">
      <c r="A18" s="79" t="s">
        <v>51</v>
      </c>
      <c r="B18" s="47"/>
      <c r="C18" s="47"/>
      <c r="D18" s="47"/>
      <c r="E18" s="47"/>
      <c r="F18" s="47"/>
      <c r="G18" s="47"/>
      <c r="H18" s="47"/>
      <c r="I18" s="47"/>
      <c r="J18" s="47"/>
      <c r="K18" s="77"/>
    </row>
    <row r="19" ht="12" customHeight="1" spans="1:26">
      <c r="J19" s="3"/>
      <c r="K19" s="90"/>
    </row>
    <row r="20" ht="12" customHeight="1" spans="1:26">
      <c r="J20" s="3"/>
      <c r="K20" s="90"/>
    </row>
    <row r="21" ht="12" customHeight="1" spans="1:26">
      <c r="J21" s="3"/>
      <c r="K21" s="90"/>
    </row>
    <row r="22" ht="12" customHeight="1" spans="1:26">
      <c r="J22" s="3"/>
      <c r="K22" s="90"/>
    </row>
    <row r="23" ht="12" customHeight="1" spans="1:26">
      <c r="J23" s="3"/>
      <c r="K23" s="90"/>
    </row>
    <row r="24" ht="12" customHeight="1" spans="1:26">
      <c r="J24" s="3"/>
      <c r="K24" s="90"/>
    </row>
    <row r="25" ht="12" customHeight="1" spans="1:26">
      <c r="J25" s="3"/>
      <c r="K25" s="90"/>
    </row>
    <row r="26" ht="12" customHeight="1" spans="1:26">
      <c r="J26" s="3"/>
      <c r="K26" s="90"/>
    </row>
    <row r="27" ht="12" customHeight="1" spans="1:26">
      <c r="J27" s="3"/>
      <c r="K27" s="90"/>
    </row>
    <row r="28" ht="12" customHeight="1" spans="1:26">
      <c r="J28" s="3"/>
      <c r="K28" s="90"/>
    </row>
    <row r="29" ht="12" customHeight="1" spans="1:26">
      <c r="J29" s="3"/>
      <c r="K29" s="90"/>
    </row>
    <row r="30" ht="12" customHeight="1" spans="1:26">
      <c r="J30" s="3"/>
      <c r="K30" s="90"/>
    </row>
    <row r="31" ht="12" customHeight="1" spans="1:26">
      <c r="J31" s="3"/>
      <c r="K31" s="90"/>
    </row>
    <row r="32" ht="12" customHeight="1" spans="1:26">
      <c r="J32" s="3"/>
      <c r="K32" s="90"/>
    </row>
    <row r="33" ht="12" customHeight="1" spans="10:11">
      <c r="J33" s="3"/>
      <c r="K33" s="90"/>
    </row>
    <row r="34" ht="12" customHeight="1" spans="10:11">
      <c r="J34" s="3"/>
      <c r="K34" s="90"/>
    </row>
    <row r="35" ht="12" customHeight="1" spans="10:11">
      <c r="J35" s="3"/>
      <c r="K35" s="90"/>
    </row>
    <row r="36" ht="12" customHeight="1" spans="10:11">
      <c r="J36" s="3"/>
      <c r="K36" s="90"/>
    </row>
    <row r="37" ht="12" customHeight="1" spans="10:11">
      <c r="J37" s="3"/>
      <c r="K37" s="90"/>
    </row>
    <row r="38" ht="12" customHeight="1" spans="10:11">
      <c r="J38" s="3"/>
      <c r="K38" s="90"/>
    </row>
    <row r="39" ht="12" customHeight="1" spans="10:11">
      <c r="J39" s="3"/>
      <c r="K39" s="90"/>
    </row>
    <row r="40" ht="12" customHeight="1" spans="10:11">
      <c r="J40" s="3"/>
      <c r="K40" s="90"/>
    </row>
    <row r="41" ht="12" customHeight="1" spans="10:11">
      <c r="J41" s="3"/>
      <c r="K41" s="90"/>
    </row>
    <row r="42" ht="12" customHeight="1" spans="10:11">
      <c r="J42" s="3"/>
      <c r="K42" s="90"/>
    </row>
    <row r="43" ht="12" customHeight="1" spans="10:11">
      <c r="J43" s="3"/>
      <c r="K43" s="90"/>
    </row>
    <row r="44" ht="12" customHeight="1" spans="10:11">
      <c r="J44" s="3"/>
      <c r="K44" s="90"/>
    </row>
    <row r="45" ht="12" customHeight="1" spans="10:11">
      <c r="J45" s="3"/>
      <c r="K45" s="90"/>
    </row>
    <row r="46" ht="12" customHeight="1" spans="10:11">
      <c r="J46" s="3"/>
      <c r="K46" s="90"/>
    </row>
    <row r="47" ht="12" customHeight="1" spans="10:11">
      <c r="J47" s="3"/>
      <c r="K47" s="90"/>
    </row>
    <row r="48" ht="12" customHeight="1" spans="10:11">
      <c r="J48" s="3"/>
      <c r="K48" s="90"/>
    </row>
    <row r="49" ht="12" customHeight="1" spans="10:11">
      <c r="J49" s="3"/>
      <c r="K49" s="90"/>
    </row>
    <row r="50" ht="12" customHeight="1" spans="10:11">
      <c r="J50" s="3"/>
      <c r="K50" s="90"/>
    </row>
    <row r="51" ht="12" customHeight="1" spans="10:11">
      <c r="J51" s="3"/>
      <c r="K51" s="90"/>
    </row>
    <row r="52" ht="12" customHeight="1" spans="10:11">
      <c r="J52" s="3"/>
      <c r="K52" s="90"/>
    </row>
    <row r="53" ht="12" customHeight="1" spans="10:11">
      <c r="J53" s="3"/>
      <c r="K53" s="90"/>
    </row>
    <row r="54" ht="12" customHeight="1" spans="10:11">
      <c r="J54" s="3"/>
      <c r="K54" s="90"/>
    </row>
    <row r="55" ht="12" customHeight="1" spans="10:11">
      <c r="J55" s="3"/>
      <c r="K55" s="90"/>
    </row>
    <row r="56" ht="12.75" customHeight="1" spans="10:11">
      <c r="J56" s="3"/>
      <c r="K56" s="90"/>
    </row>
    <row r="57" ht="12.75" customHeight="1" spans="10:11">
      <c r="J57" s="3"/>
      <c r="K57" s="90"/>
    </row>
    <row r="58" ht="12.75" customHeight="1" spans="10:11">
      <c r="J58" s="3"/>
      <c r="K58" s="90"/>
    </row>
    <row r="59" ht="12.75" customHeight="1" spans="10:11">
      <c r="J59" s="3"/>
      <c r="K59" s="90"/>
    </row>
    <row r="60" ht="12.75" customHeight="1" spans="10:11">
      <c r="J60" s="3"/>
      <c r="K60" s="90"/>
    </row>
    <row r="61" ht="12.75" customHeight="1" spans="10:11">
      <c r="J61" s="3"/>
      <c r="K61" s="90"/>
    </row>
    <row r="62" ht="12.75" customHeight="1" spans="10:11">
      <c r="J62" s="3"/>
      <c r="K62" s="90"/>
    </row>
    <row r="63" ht="12.75" customHeight="1" spans="10:11">
      <c r="J63" s="3"/>
      <c r="K63" s="90"/>
    </row>
    <row r="64" ht="12.75" customHeight="1" spans="10:11">
      <c r="J64" s="3"/>
      <c r="K64" s="90"/>
    </row>
    <row r="65" ht="12.75" customHeight="1" spans="10:11">
      <c r="J65" s="3"/>
      <c r="K65" s="90"/>
    </row>
    <row r="66" ht="12.75" customHeight="1" spans="10:11">
      <c r="J66" s="3"/>
      <c r="K66" s="90"/>
    </row>
    <row r="67" ht="12.75" customHeight="1" spans="10:11">
      <c r="J67" s="3"/>
      <c r="K67" s="90"/>
    </row>
    <row r="68" ht="12.75" customHeight="1" spans="10:11">
      <c r="J68" s="3"/>
      <c r="K68" s="90"/>
    </row>
    <row r="69" ht="12.75" customHeight="1" spans="10:11">
      <c r="J69" s="3"/>
      <c r="K69" s="90"/>
    </row>
    <row r="70" ht="12.75" customHeight="1" spans="10:11">
      <c r="J70" s="3"/>
      <c r="K70" s="90"/>
    </row>
    <row r="71" ht="12.75" customHeight="1" spans="10:11">
      <c r="J71" s="3"/>
      <c r="K71" s="90"/>
    </row>
    <row r="72" ht="12.75" customHeight="1" spans="10:11">
      <c r="J72" s="3"/>
      <c r="K72" s="90"/>
    </row>
    <row r="73" ht="12.75" customHeight="1" spans="10:11">
      <c r="J73" s="3"/>
      <c r="K73" s="90"/>
    </row>
    <row r="74" ht="12.75" customHeight="1" spans="10:11">
      <c r="J74" s="3"/>
      <c r="K74" s="90"/>
    </row>
    <row r="75" ht="12.75" customHeight="1" spans="10:11">
      <c r="J75" s="3"/>
      <c r="K75" s="90"/>
    </row>
    <row r="76" ht="12.75" customHeight="1" spans="10:11">
      <c r="J76" s="3"/>
      <c r="K76" s="90"/>
    </row>
    <row r="77" ht="12.75" customHeight="1" spans="10:11">
      <c r="J77" s="3"/>
      <c r="K77" s="90"/>
    </row>
    <row r="78" ht="12.75" customHeight="1" spans="10:11">
      <c r="J78" s="3"/>
      <c r="K78" s="90"/>
    </row>
    <row r="79" ht="12.75" customHeight="1" spans="10:11">
      <c r="J79" s="3"/>
      <c r="K79" s="90"/>
    </row>
    <row r="80" ht="12.75" customHeight="1" spans="10:11">
      <c r="J80" s="3"/>
      <c r="K80" s="90"/>
    </row>
    <row r="81" ht="12.75" customHeight="1" spans="10:11">
      <c r="J81" s="3"/>
      <c r="K81" s="90"/>
    </row>
    <row r="82" ht="12.75" customHeight="1" spans="10:11">
      <c r="J82" s="3"/>
      <c r="K82" s="90"/>
    </row>
    <row r="83" ht="12.75" customHeight="1" spans="10:11">
      <c r="J83" s="3"/>
      <c r="K83" s="90"/>
    </row>
    <row r="84" ht="12.75" customHeight="1" spans="10:11">
      <c r="J84" s="3"/>
      <c r="K84" s="90"/>
    </row>
    <row r="85" ht="12.75" customHeight="1" spans="10:11">
      <c r="J85" s="3"/>
      <c r="K85" s="90"/>
    </row>
    <row r="86" ht="12.75" customHeight="1" spans="10:11">
      <c r="J86" s="3"/>
      <c r="K86" s="90"/>
    </row>
    <row r="87" ht="12.75" customHeight="1" spans="10:11">
      <c r="J87" s="3"/>
      <c r="K87" s="90"/>
    </row>
    <row r="88" ht="12.75" customHeight="1" spans="10:11">
      <c r="J88" s="3"/>
      <c r="K88" s="90"/>
    </row>
    <row r="89" ht="12.75" customHeight="1" spans="10:11">
      <c r="J89" s="3"/>
      <c r="K89" s="90"/>
    </row>
    <row r="90" ht="12.75" customHeight="1" spans="10:11">
      <c r="J90" s="3"/>
      <c r="K90" s="90"/>
    </row>
    <row r="91" ht="12.75" customHeight="1" spans="10:11">
      <c r="J91" s="3"/>
      <c r="K91" s="90"/>
    </row>
    <row r="92" ht="12.75" customHeight="1" spans="10:11">
      <c r="J92" s="3"/>
      <c r="K92" s="90"/>
    </row>
    <row r="93" ht="12.75" customHeight="1" spans="10:11">
      <c r="J93" s="3"/>
      <c r="K93" s="90"/>
    </row>
    <row r="94" ht="12.75" customHeight="1" spans="10:11">
      <c r="J94" s="3"/>
      <c r="K94" s="90"/>
    </row>
    <row r="95" ht="12.75" customHeight="1" spans="10:11">
      <c r="J95" s="3"/>
      <c r="K95" s="90"/>
    </row>
    <row r="96" ht="12.75" customHeight="1" spans="10:11">
      <c r="J96" s="3"/>
      <c r="K96" s="90"/>
    </row>
    <row r="97" ht="12.75" customHeight="1" spans="10:11">
      <c r="J97" s="3"/>
      <c r="K97" s="90"/>
    </row>
    <row r="98" ht="12.75" customHeight="1" spans="10:11">
      <c r="J98" s="3"/>
      <c r="K98" s="90"/>
    </row>
    <row r="99" ht="12.75" customHeight="1" spans="10:11">
      <c r="J99" s="3"/>
      <c r="K99" s="90"/>
    </row>
    <row r="100" ht="12.75" customHeight="1" spans="10:11">
      <c r="J100" s="3"/>
      <c r="K100" s="90"/>
    </row>
    <row r="101" ht="12.75" customHeight="1" spans="10:11">
      <c r="J101" s="3"/>
      <c r="K101" s="90"/>
    </row>
    <row r="102" ht="12.75" customHeight="1" spans="10:11">
      <c r="J102" s="3"/>
      <c r="K102" s="90"/>
    </row>
    <row r="103" ht="12.75" customHeight="1" spans="10:11">
      <c r="J103" s="3"/>
      <c r="K103" s="90"/>
    </row>
    <row r="104" ht="12.75" customHeight="1" spans="10:11">
      <c r="J104" s="3"/>
      <c r="K104" s="90"/>
    </row>
    <row r="105" ht="12.75" customHeight="1" spans="10:11">
      <c r="J105" s="3"/>
      <c r="K105" s="90"/>
    </row>
    <row r="106" ht="12.75" customHeight="1" spans="10:11">
      <c r="J106" s="3"/>
      <c r="K106" s="90"/>
    </row>
    <row r="107" ht="12.75" customHeight="1" spans="10:11">
      <c r="J107" s="3"/>
      <c r="K107" s="90"/>
    </row>
    <row r="108" ht="12.75" customHeight="1" spans="10:11">
      <c r="J108" s="3"/>
      <c r="K108" s="90"/>
    </row>
    <row r="109" ht="12.75" customHeight="1" spans="10:11">
      <c r="J109" s="3"/>
      <c r="K109" s="90"/>
    </row>
    <row r="110" ht="12.75" customHeight="1" spans="10:11">
      <c r="J110" s="3"/>
      <c r="K110" s="90"/>
    </row>
    <row r="111" ht="12.75" customHeight="1" spans="10:11">
      <c r="J111" s="3"/>
      <c r="K111" s="90"/>
    </row>
    <row r="112" ht="12.75" customHeight="1" spans="10:11">
      <c r="J112" s="3"/>
      <c r="K112" s="90"/>
    </row>
    <row r="113" ht="12.75" customHeight="1" spans="10:11">
      <c r="J113" s="3"/>
      <c r="K113" s="90"/>
    </row>
    <row r="114" ht="12.75" customHeight="1" spans="10:11">
      <c r="J114" s="3"/>
      <c r="K114" s="90"/>
    </row>
    <row r="115" ht="12.75" customHeight="1" spans="10:11">
      <c r="J115" s="3"/>
      <c r="K115" s="90"/>
    </row>
    <row r="116" ht="12.75" customHeight="1" spans="10:11">
      <c r="J116" s="3"/>
      <c r="K116" s="90"/>
    </row>
    <row r="117" ht="12.75" customHeight="1" spans="10:11">
      <c r="J117" s="3"/>
      <c r="K117" s="90"/>
    </row>
    <row r="118" ht="12.75" customHeight="1" spans="10:11">
      <c r="J118" s="3"/>
      <c r="K118" s="90"/>
    </row>
    <row r="119" ht="12.75" customHeight="1" spans="10:11">
      <c r="J119" s="3"/>
      <c r="K119" s="90"/>
    </row>
    <row r="120" ht="12.75" customHeight="1" spans="10:11">
      <c r="J120" s="3"/>
      <c r="K120" s="90"/>
    </row>
    <row r="121" ht="12.75" customHeight="1" spans="10:11">
      <c r="J121" s="3"/>
      <c r="K121" s="90"/>
    </row>
    <row r="122" ht="12.75" customHeight="1" spans="10:11">
      <c r="J122" s="3"/>
      <c r="K122" s="90"/>
    </row>
    <row r="123" ht="12.75" customHeight="1" spans="10:11">
      <c r="J123" s="3"/>
      <c r="K123" s="90"/>
    </row>
    <row r="124" ht="12.75" customHeight="1" spans="10:11">
      <c r="J124" s="3"/>
      <c r="K124" s="90"/>
    </row>
    <row r="125" ht="12.75" customHeight="1" spans="10:11">
      <c r="J125" s="3"/>
      <c r="K125" s="90"/>
    </row>
    <row r="126" ht="12.75" customHeight="1" spans="10:11">
      <c r="J126" s="3"/>
      <c r="K126" s="90"/>
    </row>
    <row r="127" ht="12.75" customHeight="1" spans="10:11">
      <c r="J127" s="3"/>
      <c r="K127" s="90"/>
    </row>
    <row r="128" ht="12.75" customHeight="1" spans="10:11">
      <c r="J128" s="3"/>
      <c r="K128" s="90"/>
    </row>
    <row r="129" ht="12.75" customHeight="1" spans="10:11">
      <c r="J129" s="3"/>
      <c r="K129" s="90"/>
    </row>
    <row r="130" ht="12.75" customHeight="1" spans="10:11">
      <c r="J130" s="3"/>
      <c r="K130" s="90"/>
    </row>
    <row r="131" ht="12.75" customHeight="1" spans="10:11">
      <c r="J131" s="3"/>
      <c r="K131" s="90"/>
    </row>
    <row r="132" ht="12.75" customHeight="1" spans="10:11">
      <c r="J132" s="3"/>
      <c r="K132" s="90"/>
    </row>
    <row r="133" ht="12.75" customHeight="1" spans="10:11">
      <c r="J133" s="3"/>
      <c r="K133" s="90"/>
    </row>
    <row r="134" ht="12.75" customHeight="1" spans="10:11">
      <c r="J134" s="3"/>
      <c r="K134" s="90"/>
    </row>
    <row r="135" ht="12.75" customHeight="1" spans="10:11">
      <c r="J135" s="3"/>
      <c r="K135" s="90"/>
    </row>
    <row r="136" ht="12.75" customHeight="1" spans="10:11">
      <c r="J136" s="3"/>
      <c r="K136" s="90"/>
    </row>
    <row r="137" ht="12.75" customHeight="1" spans="10:11">
      <c r="J137" s="3"/>
      <c r="K137" s="90"/>
    </row>
    <row r="138" ht="12.75" customHeight="1" spans="10:11">
      <c r="J138" s="3"/>
      <c r="K138" s="90"/>
    </row>
    <row r="139" ht="12.75" customHeight="1" spans="10:11">
      <c r="J139" s="3"/>
      <c r="K139" s="90"/>
    </row>
    <row r="140" ht="12.75" customHeight="1" spans="10:11">
      <c r="J140" s="3"/>
      <c r="K140" s="90"/>
    </row>
    <row r="141" ht="12.75" customHeight="1" spans="10:11">
      <c r="J141" s="3"/>
      <c r="K141" s="90"/>
    </row>
    <row r="142" ht="12.75" customHeight="1" spans="10:11">
      <c r="J142" s="3"/>
      <c r="K142" s="90"/>
    </row>
    <row r="143" ht="12.75" customHeight="1" spans="10:11">
      <c r="J143" s="3"/>
      <c r="K143" s="90"/>
    </row>
    <row r="144" ht="12.75" customHeight="1" spans="10:11">
      <c r="J144" s="3"/>
      <c r="K144" s="90"/>
    </row>
    <row r="145" ht="12.75" customHeight="1" spans="10:11">
      <c r="J145" s="3"/>
      <c r="K145" s="90"/>
    </row>
    <row r="146" ht="12.75" customHeight="1" spans="10:11">
      <c r="J146" s="3"/>
      <c r="K146" s="90"/>
    </row>
    <row r="147" ht="12.75" customHeight="1" spans="10:11">
      <c r="J147" s="3"/>
      <c r="K147" s="90"/>
    </row>
    <row r="148" ht="12.75" customHeight="1" spans="10:11">
      <c r="J148" s="3"/>
      <c r="K148" s="90"/>
    </row>
    <row r="149" ht="12.75" customHeight="1" spans="10:11">
      <c r="J149" s="3"/>
      <c r="K149" s="90"/>
    </row>
    <row r="150" ht="12.75" customHeight="1" spans="10:11">
      <c r="J150" s="3"/>
      <c r="K150" s="90"/>
    </row>
    <row r="151" ht="12.75" customHeight="1" spans="10:11">
      <c r="J151" s="3"/>
      <c r="K151" s="90"/>
    </row>
    <row r="152" ht="12.75" customHeight="1" spans="10:11">
      <c r="J152" s="3"/>
      <c r="K152" s="90"/>
    </row>
    <row r="153" ht="12.75" customHeight="1" spans="10:11">
      <c r="J153" s="3"/>
      <c r="K153" s="90"/>
    </row>
    <row r="154" ht="12.75" customHeight="1" spans="10:11">
      <c r="J154" s="3"/>
      <c r="K154" s="90"/>
    </row>
    <row r="155" ht="12.75" customHeight="1" spans="10:11">
      <c r="J155" s="3"/>
      <c r="K155" s="90"/>
    </row>
    <row r="156" ht="12.75" customHeight="1" spans="10:11">
      <c r="J156" s="3"/>
      <c r="K156" s="90"/>
    </row>
    <row r="157" ht="12.75" customHeight="1" spans="10:11">
      <c r="J157" s="3"/>
      <c r="K157" s="90"/>
    </row>
    <row r="158" ht="12.75" customHeight="1" spans="10:11">
      <c r="J158" s="3"/>
      <c r="K158" s="90"/>
    </row>
    <row r="159" ht="12.75" customHeight="1" spans="10:11">
      <c r="J159" s="3"/>
      <c r="K159" s="90"/>
    </row>
    <row r="160" ht="12.75" customHeight="1" spans="10:11">
      <c r="J160" s="3"/>
      <c r="K160" s="90"/>
    </row>
    <row r="161" ht="12.75" customHeight="1" spans="10:11">
      <c r="J161" s="3"/>
      <c r="K161" s="90"/>
    </row>
    <row r="162" ht="12.75" customHeight="1" spans="10:11">
      <c r="J162" s="3"/>
      <c r="K162" s="90"/>
    </row>
    <row r="163" ht="12.75" customHeight="1" spans="10:11">
      <c r="J163" s="3"/>
      <c r="K163" s="90"/>
    </row>
    <row r="164" ht="12.75" customHeight="1" spans="10:11">
      <c r="J164" s="3"/>
      <c r="K164" s="90"/>
    </row>
    <row r="165" ht="12.75" customHeight="1" spans="10:11">
      <c r="J165" s="3"/>
      <c r="K165" s="90"/>
    </row>
    <row r="166" ht="12.75" customHeight="1" spans="10:11">
      <c r="J166" s="3"/>
      <c r="K166" s="90"/>
    </row>
    <row r="167" ht="12.75" customHeight="1" spans="10:11">
      <c r="J167" s="3"/>
      <c r="K167" s="90"/>
    </row>
    <row r="168" ht="12.75" customHeight="1" spans="10:11">
      <c r="J168" s="3"/>
      <c r="K168" s="90"/>
    </row>
    <row r="169" ht="12.75" customHeight="1" spans="10:11">
      <c r="J169" s="3"/>
      <c r="K169" s="90"/>
    </row>
    <row r="170" ht="12.75" customHeight="1" spans="10:11">
      <c r="J170" s="3"/>
      <c r="K170" s="90"/>
    </row>
    <row r="171" ht="12.75" customHeight="1" spans="10:11">
      <c r="J171" s="3"/>
      <c r="K171" s="90"/>
    </row>
    <row r="172" ht="12.75" customHeight="1" spans="10:11">
      <c r="J172" s="3"/>
      <c r="K172" s="90"/>
    </row>
    <row r="173" ht="12.75" customHeight="1" spans="10:11">
      <c r="J173" s="3"/>
      <c r="K173" s="90"/>
    </row>
    <row r="174" ht="12.75" customHeight="1" spans="10:11">
      <c r="J174" s="3"/>
      <c r="K174" s="90"/>
    </row>
    <row r="175" ht="12.75" customHeight="1" spans="10:11">
      <c r="J175" s="3"/>
      <c r="K175" s="90"/>
    </row>
    <row r="176" ht="12.75" customHeight="1" spans="10:11">
      <c r="J176" s="3"/>
      <c r="K176" s="90"/>
    </row>
    <row r="177" ht="12.75" customHeight="1" spans="10:11">
      <c r="J177" s="3"/>
      <c r="K177" s="90"/>
    </row>
    <row r="178" ht="12.75" customHeight="1" spans="10:11">
      <c r="J178" s="3"/>
      <c r="K178" s="90"/>
    </row>
    <row r="179" ht="12.75" customHeight="1" spans="10:11">
      <c r="J179" s="3"/>
      <c r="K179" s="90"/>
    </row>
    <row r="180" ht="12.75" customHeight="1" spans="10:11">
      <c r="J180" s="3"/>
      <c r="K180" s="90"/>
    </row>
    <row r="181" ht="12.75" customHeight="1" spans="10:11">
      <c r="J181" s="3"/>
      <c r="K181" s="90"/>
    </row>
    <row r="182" ht="12.75" customHeight="1" spans="10:11">
      <c r="J182" s="3"/>
      <c r="K182" s="90"/>
    </row>
    <row r="183" ht="12.75" customHeight="1" spans="10:11">
      <c r="J183" s="3"/>
      <c r="K183" s="90"/>
    </row>
    <row r="184" ht="12.75" customHeight="1" spans="10:11">
      <c r="J184" s="3"/>
      <c r="K184" s="90"/>
    </row>
    <row r="185" ht="12.75" customHeight="1" spans="10:11">
      <c r="J185" s="3"/>
      <c r="K185" s="90"/>
    </row>
    <row r="186" ht="12.75" customHeight="1" spans="10:11">
      <c r="J186" s="3"/>
      <c r="K186" s="90"/>
    </row>
    <row r="187" ht="12.75" customHeight="1" spans="10:11">
      <c r="J187" s="3"/>
      <c r="K187" s="90"/>
    </row>
    <row r="188" ht="12.75" customHeight="1" spans="10:11">
      <c r="J188" s="3"/>
      <c r="K188" s="90"/>
    </row>
    <row r="189" ht="12.75" customHeight="1" spans="10:11">
      <c r="J189" s="3"/>
      <c r="K189" s="90"/>
    </row>
    <row r="190" ht="12.75" customHeight="1" spans="10:11">
      <c r="J190" s="3"/>
      <c r="K190" s="90"/>
    </row>
    <row r="191" ht="12.75" customHeight="1" spans="10:11">
      <c r="J191" s="3"/>
      <c r="K191" s="90"/>
    </row>
    <row r="192" ht="12.75" customHeight="1" spans="10:11">
      <c r="J192" s="3"/>
      <c r="K192" s="90"/>
    </row>
    <row r="193" ht="12.75" customHeight="1" spans="10:11">
      <c r="J193" s="3"/>
      <c r="K193" s="90"/>
    </row>
    <row r="194" ht="12.75" customHeight="1" spans="10:11">
      <c r="J194" s="3"/>
      <c r="K194" s="90"/>
    </row>
    <row r="195" ht="12.75" customHeight="1" spans="10:11">
      <c r="J195" s="3"/>
      <c r="K195" s="90"/>
    </row>
    <row r="196" ht="12.75" customHeight="1" spans="10:11">
      <c r="J196" s="3"/>
      <c r="K196" s="90"/>
    </row>
    <row r="197" ht="12.75" customHeight="1" spans="10:11">
      <c r="J197" s="3"/>
      <c r="K197" s="90"/>
    </row>
    <row r="198" ht="12.75" customHeight="1" spans="10:11">
      <c r="J198" s="3"/>
      <c r="K198" s="90"/>
    </row>
    <row r="199" ht="12.75" customHeight="1" spans="10:11">
      <c r="J199" s="3"/>
      <c r="K199" s="90"/>
    </row>
    <row r="200" ht="12.75" customHeight="1" spans="10:11">
      <c r="J200" s="3"/>
      <c r="K200" s="90"/>
    </row>
    <row r="201" ht="12.75" customHeight="1" spans="10:11">
      <c r="J201" s="3"/>
      <c r="K201" s="90"/>
    </row>
    <row r="202" ht="12.75" customHeight="1" spans="10:11">
      <c r="J202" s="3"/>
      <c r="K202" s="90"/>
    </row>
    <row r="203" ht="12.75" customHeight="1" spans="10:11">
      <c r="J203" s="3"/>
      <c r="K203" s="90"/>
    </row>
    <row r="204" ht="12.75" customHeight="1" spans="10:11">
      <c r="J204" s="3"/>
      <c r="K204" s="90"/>
    </row>
    <row r="205" ht="12.75" customHeight="1" spans="10:11">
      <c r="J205" s="3"/>
      <c r="K205" s="90"/>
    </row>
    <row r="206" ht="12.75" customHeight="1" spans="10:11">
      <c r="J206" s="3"/>
      <c r="K206" s="90"/>
    </row>
    <row r="207" ht="12.75" customHeight="1" spans="10:11">
      <c r="J207" s="3"/>
      <c r="K207" s="90"/>
    </row>
    <row r="208" ht="12.75" customHeight="1" spans="10:11">
      <c r="J208" s="3"/>
      <c r="K208" s="90"/>
    </row>
    <row r="209" ht="12.75" customHeight="1" spans="10:11">
      <c r="J209" s="3"/>
      <c r="K209" s="90"/>
    </row>
    <row r="210" ht="12.75" customHeight="1" spans="10:11">
      <c r="J210" s="3"/>
      <c r="K210" s="90"/>
    </row>
    <row r="211" ht="12.75" customHeight="1" spans="10:11">
      <c r="J211" s="3"/>
      <c r="K211" s="90"/>
    </row>
    <row r="212" ht="12.75" customHeight="1" spans="10:11">
      <c r="J212" s="3"/>
      <c r="K212" s="90"/>
    </row>
    <row r="213" ht="12.75" customHeight="1" spans="10:11">
      <c r="J213" s="3"/>
      <c r="K213" s="90"/>
    </row>
    <row r="214" ht="12.75" customHeight="1" spans="10:11">
      <c r="J214" s="3"/>
      <c r="K214" s="90"/>
    </row>
    <row r="215" ht="12.75" customHeight="1" spans="10:11">
      <c r="J215" s="3"/>
      <c r="K215" s="90"/>
    </row>
    <row r="216" ht="12.75" customHeight="1" spans="10:11">
      <c r="J216" s="3"/>
      <c r="K216" s="90"/>
    </row>
    <row r="217" ht="12.75" customHeight="1" spans="10:11">
      <c r="J217" s="3"/>
      <c r="K217" s="90"/>
    </row>
    <row r="218" ht="12.75" customHeight="1" spans="10:11">
      <c r="J218" s="3"/>
      <c r="K218" s="90"/>
    </row>
    <row r="219" ht="12.75" customHeight="1" spans="10:11">
      <c r="J219" s="3"/>
      <c r="K219" s="90"/>
    </row>
    <row r="220" ht="12.75" customHeight="1" spans="10:11">
      <c r="J220" s="3"/>
      <c r="K220" s="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3:D3"/>
    <mergeCell ref="I3:K3"/>
    <mergeCell ref="B4:D4"/>
    <mergeCell ref="I4:K4"/>
    <mergeCell ref="B5:D5"/>
    <mergeCell ref="I5:K5"/>
    <mergeCell ref="I6:K6"/>
    <mergeCell ref="I7:K7"/>
    <mergeCell ref="A8:D8"/>
    <mergeCell ref="A11:K11"/>
    <mergeCell ref="A12:K12"/>
    <mergeCell ref="D13:F13"/>
    <mergeCell ref="A14:C14"/>
    <mergeCell ref="D15:F15"/>
    <mergeCell ref="A16:C16"/>
    <mergeCell ref="D17:F17"/>
    <mergeCell ref="A18:K18"/>
    <mergeCell ref="A9:A10"/>
    <mergeCell ref="B9:B10"/>
    <mergeCell ref="C9:C10"/>
    <mergeCell ref="H9:H10"/>
    <mergeCell ref="I9:I10"/>
    <mergeCell ref="J9:J10"/>
    <mergeCell ref="K9:K10"/>
    <mergeCell ref="B1:D2"/>
    <mergeCell ref="D9:G10"/>
  </mergeCells>
  <pageMargins left="0.75" right="0.75" top="1" bottom="1"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8"/>
  <sheetViews>
    <sheetView workbookViewId="0">
      <selection activeCell="A1" sqref="A1"/>
    </sheetView>
  </sheetViews>
  <sheetFormatPr defaultColWidth="12.6296296296296" defaultRowHeight="15" customHeight="1"/>
  <cols>
    <col min="1" max="1" width="15.6296296296296" customWidth="1"/>
    <col min="2" max="2" width="18.1296296296296" customWidth="1"/>
    <col min="3" max="3" width="42.1296296296296" customWidth="1"/>
    <col min="4" max="5" width="8.87962962962963" customWidth="1"/>
    <col min="6" max="6" width="23.6296296296296" customWidth="1"/>
    <col min="7" max="7" width="18.5" hidden="1" customWidth="1"/>
    <col min="8" max="8" width="38" customWidth="1"/>
    <col min="9" max="9" width="17.1296296296296" customWidth="1"/>
    <col min="10" max="10" width="9" customWidth="1"/>
    <col min="11" max="11" width="18" customWidth="1"/>
    <col min="12" max="26" width="8.87962962962963" customWidth="1"/>
  </cols>
  <sheetData>
    <row r="1" ht="12.75" customHeight="1" spans="1:26">
      <c r="A1" s="29" t="s">
        <v>0</v>
      </c>
      <c r="B1" s="30"/>
      <c r="C1" s="31"/>
      <c r="D1" s="31"/>
      <c r="E1" s="32"/>
      <c r="F1" s="32"/>
      <c r="G1" s="32"/>
      <c r="H1" s="32"/>
      <c r="I1" s="32"/>
      <c r="J1" s="33"/>
      <c r="K1" s="32"/>
      <c r="L1" s="34"/>
      <c r="M1" s="35"/>
      <c r="N1" s="35"/>
      <c r="O1" s="35"/>
      <c r="P1" s="35"/>
      <c r="Q1" s="35"/>
      <c r="R1" s="35"/>
      <c r="S1" s="35"/>
      <c r="T1" s="35"/>
      <c r="U1" s="35"/>
      <c r="V1" s="35"/>
      <c r="W1" s="35"/>
      <c r="X1" s="35"/>
      <c r="Y1" s="35"/>
      <c r="Z1" s="35"/>
    </row>
    <row r="2" ht="11.25" customHeight="1" spans="1:26">
      <c r="A2" s="34"/>
      <c r="B2" s="36"/>
      <c r="C2" s="36"/>
      <c r="D2" s="36"/>
      <c r="E2" s="32"/>
      <c r="F2" s="32"/>
      <c r="G2" s="32"/>
      <c r="H2" s="32"/>
      <c r="I2" s="32"/>
      <c r="J2" s="33"/>
      <c r="K2" s="32"/>
      <c r="L2" s="34"/>
      <c r="M2" s="35"/>
      <c r="N2" s="35"/>
      <c r="O2" s="35"/>
      <c r="P2" s="35"/>
      <c r="Q2" s="35"/>
      <c r="R2" s="35"/>
      <c r="S2" s="35"/>
      <c r="T2" s="35"/>
      <c r="U2" s="35"/>
      <c r="V2" s="35"/>
      <c r="W2" s="35"/>
      <c r="X2" s="35"/>
      <c r="Y2" s="35"/>
      <c r="Z2" s="35"/>
    </row>
    <row r="3" ht="13.2" spans="1:26">
      <c r="A3" s="37" t="s">
        <v>20</v>
      </c>
      <c r="B3" s="38" t="s">
        <v>4</v>
      </c>
      <c r="C3" s="39"/>
      <c r="D3" s="40"/>
      <c r="E3" s="41"/>
      <c r="F3" s="41"/>
      <c r="G3" s="41"/>
      <c r="H3" s="41"/>
      <c r="I3" s="42"/>
      <c r="J3" s="31"/>
      <c r="K3" s="31"/>
      <c r="L3" s="43"/>
      <c r="M3" s="44"/>
      <c r="N3" s="44"/>
      <c r="O3" s="44"/>
      <c r="P3" s="44"/>
      <c r="Q3" s="44"/>
      <c r="R3" s="44"/>
      <c r="S3" s="44"/>
      <c r="T3" s="44"/>
      <c r="U3" s="44"/>
      <c r="V3" s="44"/>
      <c r="W3" s="44"/>
      <c r="X3" s="44"/>
      <c r="Y3" s="44"/>
      <c r="Z3" s="44"/>
    </row>
    <row r="4" ht="12.75" customHeight="1" spans="1:26">
      <c r="A4" s="45" t="s">
        <v>21</v>
      </c>
      <c r="B4" s="46" t="s">
        <v>52</v>
      </c>
      <c r="C4" s="47"/>
      <c r="D4" s="48"/>
      <c r="E4" s="41"/>
      <c r="F4" s="41"/>
      <c r="G4" s="41"/>
      <c r="H4" s="41"/>
      <c r="I4" s="42"/>
      <c r="J4" s="31"/>
      <c r="K4" s="31"/>
      <c r="L4" s="43"/>
      <c r="M4" s="44"/>
      <c r="N4" s="44"/>
      <c r="O4" s="44"/>
      <c r="P4" s="44"/>
      <c r="Q4" s="44"/>
      <c r="R4" s="44"/>
      <c r="S4" s="44"/>
      <c r="T4" s="44"/>
      <c r="U4" s="44"/>
      <c r="V4" s="44"/>
      <c r="W4" s="44"/>
      <c r="X4" s="44"/>
      <c r="Y4" s="44"/>
      <c r="Z4" s="44"/>
    </row>
    <row r="5" ht="12.75" customHeight="1" spans="1:26">
      <c r="A5" s="45" t="s">
        <v>23</v>
      </c>
      <c r="B5" s="49" t="s">
        <v>24</v>
      </c>
      <c r="C5" s="47"/>
      <c r="D5" s="48"/>
      <c r="E5" s="50"/>
      <c r="F5" s="50"/>
      <c r="G5" s="50"/>
      <c r="H5" s="50"/>
      <c r="I5" s="51"/>
      <c r="J5" s="31"/>
      <c r="K5" s="31"/>
      <c r="L5" s="52"/>
      <c r="M5" s="53"/>
      <c r="N5" s="53"/>
      <c r="O5" s="53"/>
      <c r="P5" s="53"/>
      <c r="Q5" s="53"/>
      <c r="R5" s="53"/>
      <c r="S5" s="53"/>
      <c r="T5" s="53"/>
      <c r="U5" s="53"/>
      <c r="V5" s="53"/>
      <c r="W5" s="53"/>
      <c r="X5" s="53"/>
      <c r="Y5" s="53"/>
      <c r="Z5" s="53"/>
    </row>
    <row r="6" ht="13.2" spans="1:26">
      <c r="A6" s="54" t="s">
        <v>25</v>
      </c>
      <c r="B6" s="55">
        <f>COUNTIF(J12:J100,"Pass")</f>
        <v>0</v>
      </c>
      <c r="C6" s="56" t="s">
        <v>26</v>
      </c>
      <c r="D6" s="57">
        <f>COUNTIF(J10:J743,"Pending")</f>
        <v>16</v>
      </c>
      <c r="E6" s="42"/>
      <c r="F6" s="42"/>
      <c r="G6" s="42"/>
      <c r="H6" s="42"/>
      <c r="I6" s="42"/>
      <c r="J6" s="31"/>
      <c r="K6" s="31"/>
      <c r="L6" s="43"/>
      <c r="M6" s="44"/>
      <c r="N6" s="44"/>
      <c r="O6" s="44"/>
      <c r="P6" s="44"/>
      <c r="Q6" s="44"/>
      <c r="R6" s="44"/>
      <c r="S6" s="44"/>
      <c r="T6" s="44"/>
      <c r="U6" s="44"/>
      <c r="V6" s="44"/>
      <c r="W6" s="44"/>
      <c r="X6" s="44"/>
      <c r="Y6" s="44"/>
      <c r="Z6" s="44"/>
    </row>
    <row r="7" ht="13.95" spans="1:26">
      <c r="A7" s="58" t="s">
        <v>27</v>
      </c>
      <c r="B7" s="59">
        <f>COUNTIF(J12:J100,"Fail")</f>
        <v>0</v>
      </c>
      <c r="C7" s="60" t="s">
        <v>28</v>
      </c>
      <c r="D7" s="61">
        <f>COUNTA(A12:A100)-6</f>
        <v>16</v>
      </c>
      <c r="E7" s="62"/>
      <c r="F7" s="62"/>
      <c r="G7" s="62"/>
      <c r="H7" s="62"/>
      <c r="I7" s="42"/>
      <c r="J7" s="31"/>
      <c r="K7" s="31"/>
      <c r="L7" s="43"/>
      <c r="M7" s="44"/>
      <c r="N7" s="44"/>
      <c r="O7" s="44"/>
      <c r="P7" s="44"/>
      <c r="Q7" s="44"/>
      <c r="R7" s="44"/>
      <c r="S7" s="44"/>
      <c r="T7" s="44"/>
      <c r="U7" s="44"/>
      <c r="V7" s="44"/>
      <c r="W7" s="44"/>
      <c r="X7" s="44"/>
      <c r="Y7" s="44"/>
      <c r="Z7" s="44"/>
    </row>
    <row r="8" ht="13.2" spans="1:26">
      <c r="A8" s="63"/>
      <c r="B8" s="39"/>
      <c r="C8" s="39"/>
      <c r="D8" s="39"/>
      <c r="E8" s="42"/>
      <c r="F8" s="42"/>
      <c r="G8" s="42"/>
      <c r="H8" s="42"/>
      <c r="I8" s="42"/>
      <c r="J8" s="64"/>
      <c r="K8" s="64"/>
      <c r="L8" s="43"/>
      <c r="M8" s="44"/>
      <c r="N8" s="44"/>
      <c r="O8" s="44"/>
      <c r="P8" s="44"/>
      <c r="Q8" s="44"/>
      <c r="R8" s="44"/>
      <c r="S8" s="44"/>
      <c r="T8" s="44"/>
      <c r="U8" s="44"/>
      <c r="V8" s="44"/>
      <c r="W8" s="44"/>
      <c r="X8" s="44"/>
      <c r="Y8" s="44"/>
      <c r="Z8" s="44"/>
    </row>
    <row r="9" ht="12" customHeight="1" spans="1:26">
      <c r="A9" s="65" t="s">
        <v>29</v>
      </c>
      <c r="B9" s="66" t="s">
        <v>30</v>
      </c>
      <c r="C9" s="65" t="s">
        <v>31</v>
      </c>
      <c r="D9" s="67" t="s">
        <v>32</v>
      </c>
      <c r="E9" s="31"/>
      <c r="F9" s="31"/>
      <c r="G9" s="68"/>
      <c r="H9" s="65" t="s">
        <v>33</v>
      </c>
      <c r="I9" s="69" t="s">
        <v>34</v>
      </c>
      <c r="J9" s="69" t="s">
        <v>35</v>
      </c>
      <c r="K9" s="69" t="s">
        <v>36</v>
      </c>
      <c r="L9" s="70"/>
      <c r="M9" s="71"/>
      <c r="N9" s="71"/>
      <c r="O9" s="71"/>
      <c r="P9" s="71"/>
      <c r="Q9" s="71"/>
      <c r="R9" s="71"/>
      <c r="S9" s="71"/>
      <c r="T9" s="71"/>
      <c r="U9" s="71"/>
      <c r="V9" s="71"/>
      <c r="W9" s="71"/>
      <c r="X9" s="71"/>
      <c r="Y9" s="71"/>
      <c r="Z9" s="71"/>
    </row>
    <row r="10" ht="15.75" customHeight="1" spans="1:26">
      <c r="A10" s="72"/>
      <c r="B10" s="72"/>
      <c r="C10" s="72"/>
      <c r="D10" s="73"/>
      <c r="E10" s="74"/>
      <c r="F10" s="74"/>
      <c r="G10" s="75"/>
      <c r="H10" s="72"/>
      <c r="I10" s="72"/>
      <c r="J10" s="72"/>
      <c r="K10" s="72"/>
      <c r="L10" s="43"/>
      <c r="M10" s="44"/>
      <c r="N10" s="44"/>
      <c r="O10" s="44"/>
      <c r="P10" s="44"/>
      <c r="Q10" s="44"/>
      <c r="R10" s="44"/>
      <c r="S10" s="44"/>
      <c r="T10" s="44"/>
      <c r="U10" s="44"/>
      <c r="V10" s="44"/>
      <c r="W10" s="44"/>
      <c r="X10" s="44"/>
      <c r="Y10" s="44"/>
      <c r="Z10" s="44"/>
    </row>
    <row r="11" ht="12.75" customHeight="1" spans="1:26">
      <c r="A11" s="76"/>
      <c r="B11" s="47"/>
      <c r="C11" s="47"/>
      <c r="D11" s="47"/>
      <c r="E11" s="47"/>
      <c r="F11" s="47"/>
      <c r="G11" s="47"/>
      <c r="H11" s="47"/>
      <c r="I11" s="47"/>
      <c r="J11" s="47"/>
      <c r="K11" s="77"/>
      <c r="L11" s="78"/>
      <c r="M11" s="78"/>
      <c r="N11" s="78"/>
      <c r="O11" s="78"/>
      <c r="P11" s="78"/>
      <c r="Q11" s="78"/>
      <c r="R11" s="78"/>
      <c r="S11" s="78"/>
      <c r="T11" s="78"/>
      <c r="U11" s="78"/>
      <c r="V11" s="78"/>
      <c r="W11" s="78"/>
      <c r="X11" s="78"/>
      <c r="Y11" s="78"/>
      <c r="Z11" s="78"/>
    </row>
    <row r="12" customHeight="1" spans="1:26">
      <c r="A12" s="79" t="s">
        <v>53</v>
      </c>
      <c r="B12" s="47"/>
      <c r="C12" s="47"/>
      <c r="D12" s="47"/>
      <c r="E12" s="47"/>
      <c r="F12" s="47"/>
      <c r="G12" s="47"/>
      <c r="H12" s="47"/>
      <c r="I12" s="47"/>
      <c r="J12" s="47"/>
      <c r="K12" s="77"/>
      <c r="L12" s="80"/>
      <c r="M12" s="80"/>
      <c r="N12" s="80"/>
      <c r="O12" s="80"/>
      <c r="P12" s="80"/>
      <c r="Q12" s="80"/>
      <c r="R12" s="80"/>
      <c r="S12" s="80"/>
      <c r="T12" s="80"/>
      <c r="U12" s="80"/>
      <c r="V12" s="80"/>
      <c r="W12" s="80"/>
      <c r="X12" s="80"/>
      <c r="Y12" s="80"/>
      <c r="Z12" s="80"/>
    </row>
    <row r="13" ht="45" customHeight="1" outlineLevel="1" spans="1:26">
      <c r="A13" s="81" t="s">
        <v>38</v>
      </c>
      <c r="B13" s="89" t="s">
        <v>54</v>
      </c>
      <c r="C13" s="89" t="s">
        <v>55</v>
      </c>
      <c r="D13" s="84" t="s">
        <v>56</v>
      </c>
      <c r="E13" s="47"/>
      <c r="F13" s="47"/>
      <c r="G13" s="85"/>
      <c r="H13" s="86"/>
      <c r="I13" s="84"/>
      <c r="J13" s="83" t="s">
        <v>26</v>
      </c>
      <c r="K13" s="83"/>
      <c r="L13" s="80"/>
      <c r="M13" s="80"/>
      <c r="N13" s="80"/>
      <c r="O13" s="80"/>
      <c r="P13" s="80"/>
      <c r="Q13" s="80"/>
      <c r="R13" s="80"/>
      <c r="S13" s="80"/>
      <c r="T13" s="80"/>
      <c r="U13" s="80"/>
      <c r="V13" s="80"/>
      <c r="W13" s="80"/>
      <c r="X13" s="80"/>
      <c r="Y13" s="80"/>
      <c r="Z13" s="80"/>
    </row>
    <row r="14" ht="66" customHeight="1" outlineLevel="1" spans="1:26">
      <c r="A14" s="81" t="s">
        <v>43</v>
      </c>
      <c r="B14" s="82" t="s">
        <v>57</v>
      </c>
      <c r="C14" s="83" t="s">
        <v>58</v>
      </c>
      <c r="D14" s="84" t="s">
        <v>59</v>
      </c>
      <c r="E14" s="47"/>
      <c r="F14" s="47"/>
      <c r="G14" s="85"/>
      <c r="H14" s="86"/>
      <c r="I14" s="87"/>
      <c r="J14" s="83" t="s">
        <v>26</v>
      </c>
      <c r="K14" s="83"/>
      <c r="L14" s="80"/>
      <c r="M14" s="80"/>
      <c r="N14" s="80"/>
      <c r="O14" s="80"/>
      <c r="P14" s="80"/>
      <c r="Q14" s="80"/>
      <c r="R14" s="80"/>
      <c r="S14" s="80"/>
      <c r="T14" s="80"/>
      <c r="U14" s="80"/>
      <c r="V14" s="80"/>
      <c r="W14" s="80"/>
      <c r="X14" s="80"/>
      <c r="Y14" s="80"/>
      <c r="Z14" s="80"/>
    </row>
    <row r="15" ht="54" customHeight="1" outlineLevel="1" spans="1:26">
      <c r="A15" s="81" t="s">
        <v>48</v>
      </c>
      <c r="B15" s="82" t="s">
        <v>60</v>
      </c>
      <c r="C15" s="83" t="s">
        <v>61</v>
      </c>
      <c r="D15" s="84" t="s">
        <v>62</v>
      </c>
      <c r="E15" s="47"/>
      <c r="F15" s="47"/>
      <c r="G15" s="85"/>
      <c r="H15" s="86"/>
      <c r="I15" s="87"/>
      <c r="J15" s="83" t="s">
        <v>26</v>
      </c>
      <c r="K15" s="83"/>
      <c r="L15" s="80"/>
      <c r="M15" s="80"/>
      <c r="N15" s="80"/>
      <c r="O15" s="80"/>
      <c r="P15" s="80"/>
      <c r="Q15" s="80"/>
      <c r="R15" s="80"/>
      <c r="S15" s="80"/>
      <c r="T15" s="80"/>
      <c r="U15" s="80"/>
      <c r="V15" s="80"/>
      <c r="W15" s="80"/>
      <c r="X15" s="80"/>
      <c r="Y15" s="80"/>
      <c r="Z15" s="80"/>
    </row>
    <row r="16" ht="49.5" customHeight="1" outlineLevel="1" spans="1:26">
      <c r="A16" s="81" t="s">
        <v>63</v>
      </c>
      <c r="B16" s="82" t="s">
        <v>64</v>
      </c>
      <c r="C16" s="83" t="s">
        <v>65</v>
      </c>
      <c r="D16" s="84" t="s">
        <v>66</v>
      </c>
      <c r="E16" s="47"/>
      <c r="F16" s="47"/>
      <c r="G16" s="85"/>
      <c r="H16" s="86"/>
      <c r="I16" s="87"/>
      <c r="J16" s="83" t="s">
        <v>26</v>
      </c>
      <c r="K16" s="83"/>
      <c r="L16" s="80"/>
      <c r="M16" s="80"/>
      <c r="N16" s="80"/>
      <c r="O16" s="80"/>
      <c r="P16" s="80"/>
      <c r="Q16" s="80"/>
      <c r="R16" s="80"/>
      <c r="S16" s="80"/>
      <c r="T16" s="80"/>
      <c r="U16" s="80"/>
      <c r="V16" s="80"/>
      <c r="W16" s="80"/>
      <c r="X16" s="80"/>
      <c r="Y16" s="80"/>
      <c r="Z16" s="80"/>
    </row>
    <row r="17" ht="45" customHeight="1" outlineLevel="1" spans="1:26">
      <c r="A17" s="81" t="s">
        <v>67</v>
      </c>
      <c r="B17" s="82" t="s">
        <v>68</v>
      </c>
      <c r="C17" s="83" t="s">
        <v>69</v>
      </c>
      <c r="D17" s="84" t="s">
        <v>66</v>
      </c>
      <c r="E17" s="47"/>
      <c r="F17" s="47"/>
      <c r="G17" s="85"/>
      <c r="H17" s="86"/>
      <c r="I17" s="87"/>
      <c r="J17" s="83" t="s">
        <v>26</v>
      </c>
      <c r="K17" s="83"/>
      <c r="L17" s="80"/>
      <c r="M17" s="80"/>
      <c r="N17" s="80"/>
      <c r="O17" s="80"/>
      <c r="P17" s="80"/>
      <c r="Q17" s="80"/>
      <c r="R17" s="80"/>
      <c r="S17" s="80"/>
      <c r="T17" s="80"/>
      <c r="U17" s="80"/>
      <c r="V17" s="80"/>
      <c r="W17" s="80"/>
      <c r="X17" s="80"/>
      <c r="Y17" s="80"/>
      <c r="Z17" s="80"/>
    </row>
    <row r="18" ht="15.75" customHeight="1" spans="1:26">
      <c r="A18" s="79" t="s">
        <v>70</v>
      </c>
      <c r="B18" s="47"/>
      <c r="C18" s="47"/>
      <c r="D18" s="47"/>
      <c r="E18" s="47"/>
      <c r="F18" s="47"/>
      <c r="G18" s="47"/>
      <c r="H18" s="47"/>
      <c r="I18" s="47"/>
      <c r="J18" s="47"/>
      <c r="K18" s="77"/>
      <c r="L18" s="80"/>
      <c r="M18" s="80"/>
      <c r="N18" s="80"/>
      <c r="O18" s="80"/>
      <c r="P18" s="80"/>
      <c r="Q18" s="80"/>
      <c r="R18" s="80"/>
      <c r="S18" s="80"/>
      <c r="T18" s="80"/>
      <c r="U18" s="80"/>
      <c r="V18" s="80"/>
      <c r="W18" s="80"/>
      <c r="X18" s="80"/>
      <c r="Y18" s="80"/>
      <c r="Z18" s="80"/>
    </row>
    <row r="19" ht="48" customHeight="1" outlineLevel="1" spans="1:26">
      <c r="A19" s="81" t="s">
        <v>71</v>
      </c>
      <c r="B19" s="82" t="s">
        <v>72</v>
      </c>
      <c r="C19" s="83" t="s">
        <v>73</v>
      </c>
      <c r="D19" s="84" t="s">
        <v>74</v>
      </c>
      <c r="E19" s="47"/>
      <c r="F19" s="47"/>
      <c r="G19" s="85"/>
      <c r="H19" s="86"/>
      <c r="I19" s="87"/>
      <c r="J19" s="83" t="s">
        <v>26</v>
      </c>
      <c r="K19" s="83"/>
      <c r="L19" s="80"/>
      <c r="M19" s="80"/>
      <c r="N19" s="80"/>
      <c r="O19" s="80"/>
      <c r="P19" s="80"/>
      <c r="Q19" s="80"/>
      <c r="R19" s="80"/>
      <c r="S19" s="80"/>
      <c r="T19" s="80"/>
      <c r="U19" s="80"/>
      <c r="V19" s="80"/>
      <c r="W19" s="80"/>
      <c r="X19" s="80"/>
      <c r="Y19" s="80"/>
      <c r="Z19" s="80"/>
    </row>
    <row r="20" ht="49.5" customHeight="1" outlineLevel="1" spans="1:26">
      <c r="A20" s="81" t="s">
        <v>75</v>
      </c>
      <c r="B20" s="82" t="s">
        <v>76</v>
      </c>
      <c r="C20" s="83" t="s">
        <v>77</v>
      </c>
      <c r="D20" s="84" t="s">
        <v>78</v>
      </c>
      <c r="E20" s="47"/>
      <c r="F20" s="47"/>
      <c r="G20" s="85"/>
      <c r="H20" s="86"/>
      <c r="I20" s="87"/>
      <c r="J20" s="83" t="s">
        <v>26</v>
      </c>
      <c r="K20" s="83"/>
      <c r="L20" s="80"/>
      <c r="M20" s="80"/>
      <c r="N20" s="80"/>
      <c r="O20" s="80"/>
      <c r="P20" s="80"/>
      <c r="Q20" s="80"/>
      <c r="R20" s="80"/>
      <c r="S20" s="80"/>
      <c r="T20" s="80"/>
      <c r="U20" s="80"/>
      <c r="V20" s="80"/>
      <c r="W20" s="80"/>
      <c r="X20" s="80"/>
      <c r="Y20" s="80"/>
      <c r="Z20" s="80"/>
    </row>
    <row r="21" ht="49.5" customHeight="1" outlineLevel="1" spans="1:26">
      <c r="A21" s="81" t="s">
        <v>79</v>
      </c>
      <c r="B21" s="82" t="s">
        <v>80</v>
      </c>
      <c r="C21" s="83" t="s">
        <v>81</v>
      </c>
      <c r="D21" s="84" t="s">
        <v>78</v>
      </c>
      <c r="E21" s="47"/>
      <c r="F21" s="47"/>
      <c r="G21" s="85"/>
      <c r="H21" s="86"/>
      <c r="I21" s="87"/>
      <c r="J21" s="83" t="s">
        <v>26</v>
      </c>
      <c r="K21" s="83"/>
      <c r="L21" s="80"/>
      <c r="M21" s="80"/>
      <c r="N21" s="80"/>
      <c r="O21" s="80"/>
      <c r="P21" s="80"/>
      <c r="Q21" s="80"/>
      <c r="R21" s="80"/>
      <c r="S21" s="80"/>
      <c r="T21" s="80"/>
      <c r="U21" s="80"/>
      <c r="V21" s="80"/>
      <c r="W21" s="80"/>
      <c r="X21" s="80"/>
      <c r="Y21" s="80"/>
      <c r="Z21" s="80"/>
    </row>
    <row r="22" ht="46.5" customHeight="1" outlineLevel="1" spans="1:26">
      <c r="A22" s="81" t="s">
        <v>82</v>
      </c>
      <c r="B22" s="82" t="s">
        <v>83</v>
      </c>
      <c r="C22" s="83" t="s">
        <v>84</v>
      </c>
      <c r="D22" s="84" t="s">
        <v>78</v>
      </c>
      <c r="E22" s="47"/>
      <c r="F22" s="47"/>
      <c r="G22" s="85"/>
      <c r="H22" s="86"/>
      <c r="I22" s="87"/>
      <c r="J22" s="83" t="s">
        <v>26</v>
      </c>
      <c r="K22" s="83"/>
      <c r="L22" s="80"/>
      <c r="M22" s="80"/>
      <c r="N22" s="80"/>
      <c r="O22" s="80"/>
      <c r="P22" s="80"/>
      <c r="Q22" s="80"/>
      <c r="R22" s="80"/>
      <c r="S22" s="80"/>
      <c r="T22" s="80"/>
      <c r="U22" s="80"/>
      <c r="V22" s="80"/>
      <c r="W22" s="80"/>
      <c r="X22" s="80"/>
      <c r="Y22" s="80"/>
      <c r="Z22" s="80"/>
    </row>
    <row r="23" ht="67.5" customHeight="1" outlineLevel="1" spans="1:26">
      <c r="A23" s="81" t="s">
        <v>85</v>
      </c>
      <c r="B23" s="82" t="s">
        <v>86</v>
      </c>
      <c r="C23" s="83" t="s">
        <v>87</v>
      </c>
      <c r="D23" s="84" t="s">
        <v>88</v>
      </c>
      <c r="E23" s="47"/>
      <c r="F23" s="47"/>
      <c r="G23" s="85"/>
      <c r="H23" s="86"/>
      <c r="I23" s="87"/>
      <c r="J23" s="83" t="s">
        <v>26</v>
      </c>
      <c r="K23" s="83"/>
      <c r="L23" s="80"/>
      <c r="M23" s="80"/>
      <c r="N23" s="80"/>
      <c r="O23" s="80"/>
      <c r="P23" s="80"/>
      <c r="Q23" s="80"/>
      <c r="R23" s="80"/>
      <c r="S23" s="80"/>
      <c r="T23" s="80"/>
      <c r="U23" s="80"/>
      <c r="V23" s="80"/>
      <c r="W23" s="80"/>
      <c r="X23" s="80"/>
      <c r="Y23" s="80"/>
      <c r="Z23" s="80"/>
    </row>
    <row r="24" ht="81.75" customHeight="1" outlineLevel="1" spans="1:26">
      <c r="A24" s="81" t="s">
        <v>89</v>
      </c>
      <c r="B24" s="82" t="s">
        <v>90</v>
      </c>
      <c r="C24" s="83" t="s">
        <v>91</v>
      </c>
      <c r="D24" s="84" t="s">
        <v>92</v>
      </c>
      <c r="E24" s="47"/>
      <c r="F24" s="47"/>
      <c r="G24" s="85"/>
      <c r="H24" s="86"/>
      <c r="I24" s="87"/>
      <c r="J24" s="83" t="s">
        <v>26</v>
      </c>
      <c r="K24" s="83"/>
      <c r="L24" s="80"/>
      <c r="M24" s="80"/>
      <c r="N24" s="80"/>
      <c r="O24" s="80"/>
      <c r="P24" s="80"/>
      <c r="Q24" s="80"/>
      <c r="R24" s="80"/>
      <c r="S24" s="80"/>
      <c r="T24" s="80"/>
      <c r="U24" s="80"/>
      <c r="V24" s="80"/>
      <c r="W24" s="80"/>
      <c r="X24" s="80"/>
      <c r="Y24" s="80"/>
      <c r="Z24" s="80"/>
    </row>
    <row r="25" customHeight="1" spans="1:26">
      <c r="A25" s="79" t="s">
        <v>93</v>
      </c>
      <c r="B25" s="47"/>
      <c r="C25" s="47"/>
      <c r="D25" s="47"/>
      <c r="E25" s="47"/>
      <c r="F25" s="47"/>
      <c r="G25" s="47"/>
      <c r="H25" s="47"/>
      <c r="I25" s="47"/>
      <c r="J25" s="47"/>
      <c r="K25" s="77"/>
      <c r="L25" s="80"/>
      <c r="M25" s="80"/>
      <c r="N25" s="80"/>
      <c r="O25" s="80"/>
      <c r="P25" s="80"/>
      <c r="Q25" s="80"/>
      <c r="R25" s="80"/>
      <c r="S25" s="80"/>
      <c r="T25" s="80"/>
      <c r="U25" s="80"/>
      <c r="V25" s="80"/>
      <c r="W25" s="80"/>
      <c r="X25" s="80"/>
      <c r="Y25" s="80"/>
      <c r="Z25" s="80"/>
    </row>
    <row r="26" ht="64.5" customHeight="1" outlineLevel="1" spans="1:26">
      <c r="A26" s="81" t="s">
        <v>94</v>
      </c>
      <c r="B26" s="82" t="s">
        <v>95</v>
      </c>
      <c r="C26" s="83" t="s">
        <v>96</v>
      </c>
      <c r="D26" s="84" t="s">
        <v>97</v>
      </c>
      <c r="E26" s="47"/>
      <c r="F26" s="47"/>
      <c r="G26" s="85"/>
      <c r="H26" s="86"/>
      <c r="I26" s="87"/>
      <c r="J26" s="92" t="s">
        <v>26</v>
      </c>
      <c r="K26" s="83"/>
      <c r="L26" s="80"/>
      <c r="M26" s="80"/>
      <c r="N26" s="80"/>
      <c r="O26" s="80"/>
      <c r="P26" s="80"/>
      <c r="Q26" s="80"/>
      <c r="R26" s="80"/>
      <c r="S26" s="80"/>
      <c r="T26" s="80"/>
      <c r="U26" s="80"/>
      <c r="V26" s="80"/>
      <c r="W26" s="80"/>
      <c r="X26" s="80"/>
      <c r="Y26" s="80"/>
      <c r="Z26" s="80"/>
    </row>
    <row r="27" ht="16.5" customHeight="1" spans="1:26">
      <c r="A27" s="79" t="s">
        <v>98</v>
      </c>
      <c r="B27" s="47"/>
      <c r="C27" s="47"/>
      <c r="D27" s="47"/>
      <c r="E27" s="47"/>
      <c r="F27" s="47"/>
      <c r="G27" s="47"/>
      <c r="H27" s="47"/>
      <c r="I27" s="47"/>
      <c r="J27" s="47"/>
      <c r="K27" s="77"/>
      <c r="L27" s="80"/>
      <c r="M27" s="80"/>
      <c r="N27" s="80"/>
      <c r="O27" s="80"/>
      <c r="P27" s="80"/>
      <c r="Q27" s="80"/>
      <c r="R27" s="80"/>
      <c r="S27" s="80"/>
      <c r="T27" s="80"/>
      <c r="U27" s="80"/>
      <c r="V27" s="80"/>
      <c r="W27" s="80"/>
      <c r="X27" s="80"/>
      <c r="Y27" s="80"/>
      <c r="Z27" s="80"/>
    </row>
    <row r="28" ht="64.5" customHeight="1" outlineLevel="1" spans="1:26">
      <c r="A28" s="81" t="s">
        <v>99</v>
      </c>
      <c r="B28" s="82" t="s">
        <v>100</v>
      </c>
      <c r="C28" s="83" t="s">
        <v>101</v>
      </c>
      <c r="D28" s="84" t="s">
        <v>102</v>
      </c>
      <c r="E28" s="47"/>
      <c r="F28" s="47"/>
      <c r="G28" s="85"/>
      <c r="H28" s="86"/>
      <c r="I28" s="87"/>
      <c r="J28" s="92" t="s">
        <v>26</v>
      </c>
      <c r="K28" s="83"/>
      <c r="L28" s="80"/>
      <c r="M28" s="80"/>
      <c r="N28" s="80"/>
      <c r="O28" s="80"/>
      <c r="P28" s="80"/>
      <c r="Q28" s="80"/>
      <c r="R28" s="80"/>
      <c r="S28" s="80"/>
      <c r="T28" s="80"/>
      <c r="U28" s="80"/>
      <c r="V28" s="80"/>
      <c r="W28" s="80"/>
      <c r="X28" s="80"/>
      <c r="Y28" s="80"/>
      <c r="Z28" s="80"/>
    </row>
    <row r="29" ht="60" customHeight="1" outlineLevel="1" spans="1:26">
      <c r="A29" s="81" t="s">
        <v>103</v>
      </c>
      <c r="B29" s="82" t="s">
        <v>104</v>
      </c>
      <c r="C29" s="83" t="s">
        <v>105</v>
      </c>
      <c r="D29" s="84" t="s">
        <v>106</v>
      </c>
      <c r="E29" s="47"/>
      <c r="F29" s="47"/>
      <c r="G29" s="85"/>
      <c r="H29" s="86"/>
      <c r="I29" s="87"/>
      <c r="J29" s="92" t="s">
        <v>26</v>
      </c>
      <c r="K29" s="83"/>
      <c r="L29" s="80"/>
      <c r="M29" s="80"/>
      <c r="N29" s="80"/>
      <c r="O29" s="80"/>
      <c r="P29" s="80"/>
      <c r="Q29" s="80"/>
      <c r="R29" s="80"/>
      <c r="S29" s="80"/>
      <c r="T29" s="80"/>
      <c r="U29" s="80"/>
      <c r="V29" s="80"/>
      <c r="W29" s="80"/>
      <c r="X29" s="80"/>
      <c r="Y29" s="80"/>
      <c r="Z29" s="80"/>
    </row>
    <row r="30" ht="16.5" customHeight="1" spans="1:26">
      <c r="A30" s="79" t="s">
        <v>107</v>
      </c>
      <c r="B30" s="47"/>
      <c r="C30" s="47"/>
      <c r="D30" s="47"/>
      <c r="E30" s="47"/>
      <c r="F30" s="47"/>
      <c r="G30" s="47"/>
      <c r="H30" s="47"/>
      <c r="I30" s="47"/>
      <c r="J30" s="47"/>
      <c r="K30" s="77"/>
      <c r="L30" s="80"/>
      <c r="M30" s="80"/>
      <c r="N30" s="80"/>
      <c r="O30" s="80"/>
      <c r="P30" s="80"/>
      <c r="Q30" s="80"/>
      <c r="R30" s="80"/>
      <c r="S30" s="80"/>
      <c r="T30" s="80"/>
      <c r="U30" s="80"/>
      <c r="V30" s="80"/>
      <c r="W30" s="80"/>
      <c r="X30" s="80"/>
      <c r="Y30" s="80"/>
      <c r="Z30" s="80"/>
    </row>
    <row r="31" ht="81.75" customHeight="1" outlineLevel="1" spans="1:26">
      <c r="A31" s="81" t="s">
        <v>108</v>
      </c>
      <c r="B31" s="82" t="s">
        <v>109</v>
      </c>
      <c r="C31" s="83" t="s">
        <v>110</v>
      </c>
      <c r="D31" s="84" t="s">
        <v>111</v>
      </c>
      <c r="E31" s="47"/>
      <c r="F31" s="47"/>
      <c r="G31" s="85"/>
      <c r="H31" s="86"/>
      <c r="I31" s="87"/>
      <c r="J31" s="92" t="s">
        <v>26</v>
      </c>
      <c r="K31" s="83"/>
      <c r="L31" s="80"/>
      <c r="M31" s="80"/>
      <c r="N31" s="80"/>
      <c r="O31" s="80"/>
      <c r="P31" s="80"/>
      <c r="Q31" s="80"/>
      <c r="R31" s="80"/>
      <c r="S31" s="80"/>
      <c r="T31" s="80"/>
      <c r="U31" s="80"/>
      <c r="V31" s="80"/>
      <c r="W31" s="80"/>
      <c r="X31" s="80"/>
      <c r="Y31" s="80"/>
      <c r="Z31" s="80"/>
    </row>
    <row r="32" ht="16.5" customHeight="1" spans="1:26">
      <c r="A32" s="79" t="s">
        <v>112</v>
      </c>
      <c r="B32" s="47"/>
      <c r="C32" s="47"/>
      <c r="D32" s="47"/>
      <c r="E32" s="47"/>
      <c r="F32" s="47"/>
      <c r="G32" s="47"/>
      <c r="H32" s="47"/>
      <c r="I32" s="47"/>
      <c r="J32" s="47"/>
      <c r="K32" s="77"/>
      <c r="L32" s="80"/>
      <c r="M32" s="80"/>
      <c r="N32" s="80"/>
      <c r="O32" s="80"/>
      <c r="P32" s="80"/>
      <c r="Q32" s="80"/>
      <c r="R32" s="80"/>
      <c r="S32" s="80"/>
      <c r="T32" s="80"/>
      <c r="U32" s="80"/>
      <c r="V32" s="80"/>
      <c r="W32" s="80"/>
      <c r="X32" s="80"/>
      <c r="Y32" s="80"/>
      <c r="Z32" s="80"/>
    </row>
    <row r="33" ht="81.75" customHeight="1" outlineLevel="1" spans="1:26">
      <c r="A33" s="81" t="s">
        <v>113</v>
      </c>
      <c r="B33" s="82" t="s">
        <v>114</v>
      </c>
      <c r="C33" s="83" t="s">
        <v>115</v>
      </c>
      <c r="D33" s="84" t="s">
        <v>116</v>
      </c>
      <c r="E33" s="47"/>
      <c r="F33" s="47"/>
      <c r="G33" s="85"/>
      <c r="H33" s="86"/>
      <c r="I33" s="87"/>
      <c r="J33" s="92" t="s">
        <v>26</v>
      </c>
      <c r="K33" s="83"/>
      <c r="L33" s="80"/>
      <c r="M33" s="80"/>
      <c r="N33" s="80"/>
      <c r="O33" s="80"/>
      <c r="P33" s="80"/>
      <c r="Q33" s="80"/>
      <c r="R33" s="80"/>
      <c r="S33" s="80"/>
      <c r="T33" s="80"/>
      <c r="U33" s="80"/>
      <c r="V33" s="80"/>
      <c r="W33" s="80"/>
      <c r="X33" s="80"/>
      <c r="Y33" s="80"/>
      <c r="Z33" s="80"/>
    </row>
    <row r="34" ht="12" customHeight="1" spans="1:26">
      <c r="J34" s="3"/>
      <c r="K34" s="90"/>
    </row>
    <row r="35" ht="12" customHeight="1" spans="1:26">
      <c r="J35" s="3"/>
      <c r="K35" s="90"/>
    </row>
    <row r="36" ht="12" customHeight="1" spans="1:26">
      <c r="J36" s="3"/>
      <c r="K36" s="90"/>
    </row>
    <row r="37" ht="12" customHeight="1" spans="1:26">
      <c r="J37" s="3"/>
      <c r="K37" s="90"/>
    </row>
    <row r="38" ht="12" customHeight="1" spans="1:26">
      <c r="J38" s="3"/>
      <c r="K38" s="90"/>
    </row>
    <row r="39" ht="12" customHeight="1" spans="1:26">
      <c r="J39" s="3"/>
      <c r="K39" s="90"/>
    </row>
    <row r="40" ht="12" customHeight="1" spans="1:26">
      <c r="J40" s="3"/>
      <c r="K40" s="90"/>
    </row>
    <row r="41" ht="12" customHeight="1" spans="1:26">
      <c r="J41" s="3"/>
      <c r="K41" s="90"/>
    </row>
    <row r="42" ht="12" customHeight="1" spans="1:26">
      <c r="J42" s="3"/>
      <c r="K42" s="90"/>
    </row>
    <row r="43" ht="12" customHeight="1" spans="1:26">
      <c r="J43" s="3"/>
      <c r="K43" s="90"/>
    </row>
    <row r="44" ht="12" customHeight="1" spans="1:26">
      <c r="J44" s="3"/>
      <c r="K44" s="90"/>
    </row>
    <row r="45" ht="12" customHeight="1" spans="1:26">
      <c r="J45" s="3"/>
      <c r="K45" s="90"/>
    </row>
    <row r="46" ht="12" customHeight="1" spans="1:26">
      <c r="J46" s="3"/>
      <c r="K46" s="90"/>
    </row>
    <row r="47" ht="12" customHeight="1" spans="1:26">
      <c r="J47" s="3"/>
      <c r="K47" s="90"/>
    </row>
    <row r="48" ht="12" customHeight="1" spans="1:26">
      <c r="J48" s="3"/>
      <c r="K48" s="90"/>
    </row>
    <row r="49" ht="12" customHeight="1" spans="10:11">
      <c r="J49" s="3"/>
      <c r="K49" s="90"/>
    </row>
    <row r="50" ht="12" customHeight="1" spans="10:11">
      <c r="J50" s="3"/>
      <c r="K50" s="90"/>
    </row>
    <row r="51" ht="12" customHeight="1" spans="10:11">
      <c r="J51" s="3"/>
      <c r="K51" s="90"/>
    </row>
    <row r="52" ht="12" customHeight="1" spans="10:11">
      <c r="J52" s="3"/>
      <c r="K52" s="90"/>
    </row>
    <row r="53" ht="12" customHeight="1" spans="10:11">
      <c r="J53" s="3"/>
      <c r="K53" s="90"/>
    </row>
    <row r="54" ht="12" customHeight="1" spans="10:11">
      <c r="J54" s="3"/>
      <c r="K54" s="90"/>
    </row>
    <row r="55" ht="12" customHeight="1" spans="10:11">
      <c r="J55" s="3"/>
      <c r="K55" s="90"/>
    </row>
    <row r="56" ht="12" customHeight="1" spans="10:11">
      <c r="J56" s="3"/>
      <c r="K56" s="90"/>
    </row>
    <row r="57" ht="12" customHeight="1" spans="10:11">
      <c r="J57" s="3"/>
      <c r="K57" s="90"/>
    </row>
    <row r="58" ht="12" customHeight="1" spans="10:11">
      <c r="J58" s="3"/>
      <c r="K58" s="90"/>
    </row>
    <row r="59" ht="12" customHeight="1" spans="10:11">
      <c r="J59" s="3"/>
      <c r="K59" s="90"/>
    </row>
    <row r="60" ht="12" customHeight="1" spans="10:11">
      <c r="J60" s="3"/>
      <c r="K60" s="90"/>
    </row>
    <row r="61" ht="12" customHeight="1" spans="10:11">
      <c r="J61" s="3"/>
      <c r="K61" s="90"/>
    </row>
    <row r="62" ht="12" customHeight="1" spans="10:11">
      <c r="J62" s="3"/>
      <c r="K62" s="90"/>
    </row>
    <row r="63" ht="12.75" customHeight="1" spans="10:11">
      <c r="J63" s="3"/>
      <c r="K63" s="90"/>
    </row>
    <row r="64" ht="12.75" customHeight="1" spans="10:11">
      <c r="J64" s="3"/>
      <c r="K64" s="90"/>
    </row>
    <row r="65" ht="12.75" customHeight="1" spans="10:11">
      <c r="J65" s="3"/>
      <c r="K65" s="90"/>
    </row>
    <row r="66" ht="12.75" customHeight="1" spans="10:11">
      <c r="J66" s="3"/>
      <c r="K66" s="90"/>
    </row>
    <row r="67" ht="12.75" customHeight="1" spans="10:11">
      <c r="J67" s="3"/>
      <c r="K67" s="90"/>
    </row>
    <row r="68" ht="12.75" customHeight="1" spans="10:11">
      <c r="J68" s="3"/>
      <c r="K68" s="90"/>
    </row>
    <row r="69" ht="12.75" customHeight="1" spans="10:11">
      <c r="J69" s="3"/>
      <c r="K69" s="90"/>
    </row>
    <row r="70" ht="12.75" customHeight="1" spans="10:11">
      <c r="J70" s="3"/>
      <c r="K70" s="90"/>
    </row>
    <row r="71" ht="12.75" customHeight="1" spans="10:11">
      <c r="J71" s="3"/>
      <c r="K71" s="90"/>
    </row>
    <row r="72" ht="12.75" customHeight="1" spans="10:11">
      <c r="J72" s="3"/>
      <c r="K72" s="90"/>
    </row>
    <row r="73" ht="12.75" customHeight="1" spans="10:11">
      <c r="J73" s="3"/>
      <c r="K73" s="90"/>
    </row>
    <row r="74" ht="12.75" customHeight="1" spans="10:11">
      <c r="J74" s="3"/>
      <c r="K74" s="90"/>
    </row>
    <row r="75" ht="12.75" customHeight="1" spans="10:11">
      <c r="J75" s="3"/>
      <c r="K75" s="90"/>
    </row>
    <row r="76" ht="12.75" customHeight="1" spans="10:11">
      <c r="J76" s="3"/>
      <c r="K76" s="90"/>
    </row>
    <row r="77" ht="12.75" customHeight="1" spans="10:11">
      <c r="J77" s="3"/>
      <c r="K77" s="90"/>
    </row>
    <row r="78" ht="12.75" customHeight="1" spans="10:11">
      <c r="J78" s="3"/>
      <c r="K78" s="90"/>
    </row>
    <row r="79" ht="12.75" customHeight="1" spans="10:11">
      <c r="J79" s="3"/>
      <c r="K79" s="90"/>
    </row>
    <row r="80" ht="12.75" customHeight="1" spans="10:11">
      <c r="J80" s="3"/>
      <c r="K80" s="90"/>
    </row>
    <row r="81" ht="12.75" customHeight="1" spans="10:11">
      <c r="J81" s="3"/>
      <c r="K81" s="90"/>
    </row>
    <row r="82" ht="12.75" customHeight="1" spans="10:11">
      <c r="J82" s="3"/>
      <c r="K82" s="90"/>
    </row>
    <row r="83" ht="12.75" customHeight="1" spans="10:11">
      <c r="J83" s="3"/>
      <c r="K83" s="90"/>
    </row>
    <row r="84" ht="12.75" customHeight="1" spans="10:11">
      <c r="J84" s="3"/>
      <c r="K84" s="90"/>
    </row>
    <row r="85" ht="12.75" customHeight="1" spans="10:11">
      <c r="J85" s="3"/>
      <c r="K85" s="90"/>
    </row>
    <row r="86" ht="12.75" customHeight="1" spans="10:11">
      <c r="J86" s="3"/>
      <c r="K86" s="90"/>
    </row>
    <row r="87" ht="12.75" customHeight="1" spans="10:11">
      <c r="J87" s="3"/>
      <c r="K87" s="90"/>
    </row>
    <row r="88" ht="12.75" customHeight="1" spans="10:11">
      <c r="J88" s="3"/>
      <c r="K88" s="90"/>
    </row>
    <row r="89" ht="12.75" customHeight="1" spans="10:11">
      <c r="J89" s="3"/>
      <c r="K89" s="90"/>
    </row>
    <row r="90" ht="12.75" customHeight="1" spans="10:11">
      <c r="J90" s="3"/>
      <c r="K90" s="90"/>
    </row>
    <row r="91" ht="12.75" customHeight="1" spans="10:11">
      <c r="J91" s="3"/>
      <c r="K91" s="90"/>
    </row>
    <row r="92" ht="12.75" customHeight="1" spans="10:11">
      <c r="J92" s="3"/>
      <c r="K92" s="90"/>
    </row>
    <row r="93" ht="12.75" customHeight="1" spans="10:11">
      <c r="J93" s="3"/>
      <c r="K93" s="90"/>
    </row>
    <row r="94" ht="12.75" customHeight="1" spans="10:11">
      <c r="J94" s="3"/>
      <c r="K94" s="90"/>
    </row>
    <row r="95" ht="12.75" customHeight="1" spans="10:11">
      <c r="J95" s="3"/>
      <c r="K95" s="90"/>
    </row>
    <row r="96" ht="12.75" customHeight="1" spans="10:11">
      <c r="J96" s="3"/>
      <c r="K96" s="90"/>
    </row>
    <row r="97" ht="12.75" customHeight="1" spans="10:11">
      <c r="J97" s="3"/>
      <c r="K97" s="90"/>
    </row>
    <row r="98" ht="12.75" customHeight="1" spans="10:11">
      <c r="J98" s="3"/>
      <c r="K98" s="90"/>
    </row>
    <row r="99" ht="12.75" customHeight="1" spans="10:11">
      <c r="J99" s="3"/>
      <c r="K99" s="90"/>
    </row>
    <row r="100" ht="12.75" customHeight="1" spans="10:11">
      <c r="J100" s="3"/>
      <c r="K100" s="90"/>
    </row>
    <row r="101" ht="12.75" customHeight="1" spans="10:11">
      <c r="J101" s="3"/>
      <c r="K101" s="90"/>
    </row>
    <row r="102" ht="12.75" customHeight="1" spans="10:11">
      <c r="J102" s="3"/>
      <c r="K102" s="90"/>
    </row>
    <row r="103" ht="12.75" customHeight="1" spans="10:11">
      <c r="J103" s="3"/>
      <c r="K103" s="90"/>
    </row>
    <row r="104" ht="12.75" customHeight="1" spans="10:11">
      <c r="J104" s="3"/>
      <c r="K104" s="90"/>
    </row>
    <row r="105" ht="12.75" customHeight="1" spans="10:11">
      <c r="J105" s="3"/>
      <c r="K105" s="90"/>
    </row>
    <row r="106" ht="12.75" customHeight="1" spans="10:11">
      <c r="J106" s="3"/>
      <c r="K106" s="90"/>
    </row>
    <row r="107" ht="12.75" customHeight="1" spans="10:11">
      <c r="J107" s="3"/>
      <c r="K107" s="90"/>
    </row>
    <row r="108" ht="12.75" customHeight="1" spans="10:11">
      <c r="J108" s="3"/>
      <c r="K108" s="90"/>
    </row>
    <row r="109" ht="12.75" customHeight="1" spans="10:11">
      <c r="J109" s="3"/>
      <c r="K109" s="90"/>
    </row>
    <row r="110" ht="12.75" customHeight="1" spans="10:11">
      <c r="J110" s="3"/>
      <c r="K110" s="90"/>
    </row>
    <row r="111" ht="12.75" customHeight="1" spans="10:11">
      <c r="J111" s="3"/>
      <c r="K111" s="90"/>
    </row>
    <row r="112" ht="12.75" customHeight="1" spans="10:11">
      <c r="J112" s="3"/>
      <c r="K112" s="90"/>
    </row>
    <row r="113" ht="12.75" customHeight="1" spans="10:11">
      <c r="J113" s="3"/>
      <c r="K113" s="90"/>
    </row>
    <row r="114" ht="12.75" customHeight="1" spans="10:11">
      <c r="J114" s="3"/>
      <c r="K114" s="90"/>
    </row>
    <row r="115" ht="12.75" customHeight="1" spans="10:11">
      <c r="J115" s="3"/>
      <c r="K115" s="90"/>
    </row>
    <row r="116" ht="12.75" customHeight="1" spans="10:11">
      <c r="J116" s="3"/>
      <c r="K116" s="90"/>
    </row>
    <row r="117" ht="12.75" customHeight="1" spans="10:11">
      <c r="J117" s="3"/>
      <c r="K117" s="90"/>
    </row>
    <row r="118" ht="12.75" customHeight="1" spans="10:11">
      <c r="J118" s="3"/>
      <c r="K118" s="90"/>
    </row>
    <row r="119" ht="12.75" customHeight="1" spans="10:11">
      <c r="J119" s="3"/>
      <c r="K119" s="90"/>
    </row>
    <row r="120" ht="12.75" customHeight="1" spans="10:11">
      <c r="J120" s="3"/>
      <c r="K120" s="90"/>
    </row>
    <row r="121" ht="12.75" customHeight="1" spans="10:11">
      <c r="J121" s="3"/>
      <c r="K121" s="90"/>
    </row>
    <row r="122" ht="12.75" customHeight="1" spans="10:11">
      <c r="J122" s="3"/>
      <c r="K122" s="90"/>
    </row>
    <row r="123" ht="12.75" customHeight="1" spans="10:11">
      <c r="J123" s="3"/>
      <c r="K123" s="90"/>
    </row>
    <row r="124" ht="12.75" customHeight="1" spans="10:11">
      <c r="J124" s="3"/>
      <c r="K124" s="90"/>
    </row>
    <row r="125" ht="12.75" customHeight="1" spans="10:11">
      <c r="J125" s="3"/>
      <c r="K125" s="90"/>
    </row>
    <row r="126" ht="12.75" customHeight="1" spans="10:11">
      <c r="J126" s="3"/>
      <c r="K126" s="90"/>
    </row>
    <row r="127" ht="12.75" customHeight="1" spans="10:11">
      <c r="J127" s="3"/>
      <c r="K127" s="90"/>
    </row>
    <row r="128" ht="12.75" customHeight="1" spans="10:11">
      <c r="J128" s="3"/>
      <c r="K128" s="90"/>
    </row>
    <row r="129" ht="12.75" customHeight="1" spans="10:11">
      <c r="J129" s="3"/>
      <c r="K129" s="90"/>
    </row>
    <row r="130" ht="12.75" customHeight="1" spans="10:11">
      <c r="J130" s="3"/>
      <c r="K130" s="90"/>
    </row>
    <row r="131" ht="12.75" customHeight="1" spans="10:11">
      <c r="J131" s="3"/>
      <c r="K131" s="90"/>
    </row>
    <row r="132" ht="12.75" customHeight="1" spans="10:11">
      <c r="J132" s="3"/>
      <c r="K132" s="90"/>
    </row>
    <row r="133" ht="12.75" customHeight="1" spans="10:11">
      <c r="J133" s="3"/>
      <c r="K133" s="90"/>
    </row>
    <row r="134" ht="12.75" customHeight="1" spans="10:11">
      <c r="J134" s="3"/>
      <c r="K134" s="90"/>
    </row>
    <row r="135" ht="12.75" customHeight="1" spans="10:11">
      <c r="J135" s="3"/>
      <c r="K135" s="90"/>
    </row>
    <row r="136" ht="12.75" customHeight="1" spans="10:11">
      <c r="J136" s="3"/>
      <c r="K136" s="90"/>
    </row>
    <row r="137" ht="12.75" customHeight="1" spans="10:11">
      <c r="J137" s="3"/>
      <c r="K137" s="90"/>
    </row>
    <row r="138" ht="12.75" customHeight="1" spans="10:11">
      <c r="J138" s="3"/>
      <c r="K138" s="90"/>
    </row>
    <row r="139" ht="12.75" customHeight="1" spans="10:11">
      <c r="J139" s="3"/>
      <c r="K139" s="90"/>
    </row>
    <row r="140" ht="12.75" customHeight="1" spans="10:11">
      <c r="J140" s="3"/>
      <c r="K140" s="90"/>
    </row>
    <row r="141" ht="12.75" customHeight="1" spans="10:11">
      <c r="J141" s="3"/>
      <c r="K141" s="90"/>
    </row>
    <row r="142" ht="12.75" customHeight="1" spans="10:11">
      <c r="J142" s="3"/>
      <c r="K142" s="90"/>
    </row>
    <row r="143" ht="12.75" customHeight="1" spans="10:11">
      <c r="J143" s="3"/>
      <c r="K143" s="90"/>
    </row>
    <row r="144" ht="12.75" customHeight="1" spans="10:11">
      <c r="J144" s="3"/>
      <c r="K144" s="90"/>
    </row>
    <row r="145" ht="12.75" customHeight="1" spans="10:11">
      <c r="J145" s="3"/>
      <c r="K145" s="90"/>
    </row>
    <row r="146" ht="12.75" customHeight="1" spans="10:11">
      <c r="J146" s="3"/>
      <c r="K146" s="90"/>
    </row>
    <row r="147" ht="12.75" customHeight="1" spans="10:11">
      <c r="J147" s="3"/>
      <c r="K147" s="90"/>
    </row>
    <row r="148" ht="12.75" customHeight="1" spans="10:11">
      <c r="J148" s="3"/>
      <c r="K148" s="90"/>
    </row>
    <row r="149" ht="12.75" customHeight="1" spans="10:11">
      <c r="J149" s="3"/>
      <c r="K149" s="90"/>
    </row>
    <row r="150" ht="12.75" customHeight="1" spans="10:11">
      <c r="J150" s="3"/>
      <c r="K150" s="90"/>
    </row>
    <row r="151" ht="12.75" customHeight="1" spans="10:11">
      <c r="J151" s="3"/>
      <c r="K151" s="90"/>
    </row>
    <row r="152" ht="12.75" customHeight="1" spans="10:11">
      <c r="J152" s="3"/>
      <c r="K152" s="90"/>
    </row>
    <row r="153" ht="12.75" customHeight="1" spans="10:11">
      <c r="J153" s="3"/>
      <c r="K153" s="90"/>
    </row>
    <row r="154" ht="12.75" customHeight="1" spans="10:11">
      <c r="J154" s="3"/>
      <c r="K154" s="90"/>
    </row>
    <row r="155" ht="12.75" customHeight="1" spans="10:11">
      <c r="J155" s="3"/>
      <c r="K155" s="90"/>
    </row>
    <row r="156" ht="12.75" customHeight="1" spans="10:11">
      <c r="J156" s="3"/>
      <c r="K156" s="90"/>
    </row>
    <row r="157" ht="12.75" customHeight="1" spans="10:11">
      <c r="J157" s="3"/>
      <c r="K157" s="90"/>
    </row>
    <row r="158" ht="12.75" customHeight="1" spans="10:11">
      <c r="J158" s="3"/>
      <c r="K158" s="90"/>
    </row>
    <row r="159" ht="12.75" customHeight="1" spans="10:11">
      <c r="J159" s="3"/>
      <c r="K159" s="90"/>
    </row>
    <row r="160" ht="12.75" customHeight="1" spans="10:11">
      <c r="J160" s="3"/>
      <c r="K160" s="90"/>
    </row>
    <row r="161" ht="12.75" customHeight="1" spans="10:11">
      <c r="J161" s="3"/>
      <c r="K161" s="90"/>
    </row>
    <row r="162" ht="12.75" customHeight="1" spans="10:11">
      <c r="J162" s="3"/>
      <c r="K162" s="90"/>
    </row>
    <row r="163" ht="12.75" customHeight="1" spans="10:11">
      <c r="J163" s="3"/>
      <c r="K163" s="90"/>
    </row>
    <row r="164" ht="12.75" customHeight="1" spans="10:11">
      <c r="J164" s="3"/>
      <c r="K164" s="90"/>
    </row>
    <row r="165" ht="12.75" customHeight="1" spans="10:11">
      <c r="J165" s="3"/>
      <c r="K165" s="90"/>
    </row>
    <row r="166" ht="12.75" customHeight="1" spans="10:11">
      <c r="J166" s="3"/>
      <c r="K166" s="90"/>
    </row>
    <row r="167" ht="12.75" customHeight="1" spans="10:11">
      <c r="J167" s="3"/>
      <c r="K167" s="90"/>
    </row>
    <row r="168" ht="12.75" customHeight="1" spans="10:11">
      <c r="J168" s="3"/>
      <c r="K168" s="90"/>
    </row>
    <row r="169" ht="12.75" customHeight="1" spans="10:11">
      <c r="J169" s="3"/>
      <c r="K169" s="90"/>
    </row>
    <row r="170" ht="12.75" customHeight="1" spans="10:11">
      <c r="J170" s="3"/>
      <c r="K170" s="90"/>
    </row>
    <row r="171" ht="12.75" customHeight="1" spans="10:11">
      <c r="J171" s="3"/>
      <c r="K171" s="90"/>
    </row>
    <row r="172" ht="12.75" customHeight="1" spans="10:11">
      <c r="J172" s="3"/>
      <c r="K172" s="90"/>
    </row>
    <row r="173" ht="12.75" customHeight="1" spans="10:11">
      <c r="J173" s="3"/>
      <c r="K173" s="90"/>
    </row>
    <row r="174" ht="12.75" customHeight="1" spans="10:11">
      <c r="J174" s="3"/>
      <c r="K174" s="90"/>
    </row>
    <row r="175" ht="12.75" customHeight="1" spans="10:11">
      <c r="J175" s="3"/>
      <c r="K175" s="90"/>
    </row>
    <row r="176" ht="12.75" customHeight="1" spans="10:11">
      <c r="J176" s="3"/>
      <c r="K176" s="90"/>
    </row>
    <row r="177" ht="12.75" customHeight="1" spans="10:11">
      <c r="J177" s="3"/>
      <c r="K177" s="90"/>
    </row>
    <row r="178" ht="12.75" customHeight="1" spans="10:11">
      <c r="J178" s="3"/>
      <c r="K178" s="90"/>
    </row>
    <row r="179" ht="12.75" customHeight="1" spans="10:11">
      <c r="J179" s="3"/>
      <c r="K179" s="90"/>
    </row>
    <row r="180" ht="12.75" customHeight="1" spans="10:11">
      <c r="J180" s="3"/>
      <c r="K180" s="90"/>
    </row>
    <row r="181" ht="12.75" customHeight="1" spans="10:11">
      <c r="J181" s="3"/>
      <c r="K181" s="90"/>
    </row>
    <row r="182" ht="12.75" customHeight="1" spans="10:11">
      <c r="J182" s="3"/>
      <c r="K182" s="90"/>
    </row>
    <row r="183" ht="12.75" customHeight="1" spans="10:11">
      <c r="J183" s="3"/>
      <c r="K183" s="90"/>
    </row>
    <row r="184" ht="12.75" customHeight="1" spans="10:11">
      <c r="J184" s="3"/>
      <c r="K184" s="90"/>
    </row>
    <row r="185" ht="12.75" customHeight="1" spans="10:11">
      <c r="J185" s="3"/>
      <c r="K185" s="90"/>
    </row>
    <row r="186" ht="12.75" customHeight="1" spans="10:11">
      <c r="J186" s="3"/>
      <c r="K186" s="90"/>
    </row>
    <row r="187" ht="12.75" customHeight="1" spans="10:11">
      <c r="J187" s="3"/>
      <c r="K187" s="90"/>
    </row>
    <row r="188" ht="12.75" customHeight="1" spans="10:11">
      <c r="J188" s="3"/>
      <c r="K188" s="90"/>
    </row>
    <row r="189" ht="12.75" customHeight="1" spans="10:11">
      <c r="J189" s="3"/>
      <c r="K189" s="90"/>
    </row>
    <row r="190" ht="12.75" customHeight="1" spans="10:11">
      <c r="J190" s="3"/>
      <c r="K190" s="90"/>
    </row>
    <row r="191" ht="12.75" customHeight="1" spans="10:11">
      <c r="J191" s="3"/>
      <c r="K191" s="90"/>
    </row>
    <row r="192" ht="12.75" customHeight="1" spans="10:11">
      <c r="J192" s="3"/>
      <c r="K192" s="90"/>
    </row>
    <row r="193" ht="12.75" customHeight="1" spans="10:11">
      <c r="J193" s="3"/>
      <c r="K193" s="90"/>
    </row>
    <row r="194" ht="12.75" customHeight="1" spans="10:11">
      <c r="J194" s="3"/>
      <c r="K194" s="90"/>
    </row>
    <row r="195" ht="12.75" customHeight="1" spans="10:11">
      <c r="J195" s="3"/>
      <c r="K195" s="90"/>
    </row>
    <row r="196" ht="12.75" customHeight="1" spans="10:11">
      <c r="J196" s="3"/>
      <c r="K196" s="90"/>
    </row>
    <row r="197" ht="12.75" customHeight="1" spans="10:11">
      <c r="J197" s="3"/>
      <c r="K197" s="90"/>
    </row>
    <row r="198" ht="12.75" customHeight="1" spans="10:11">
      <c r="J198" s="3"/>
      <c r="K198" s="90"/>
    </row>
    <row r="199" ht="12.75" customHeight="1" spans="10:11">
      <c r="J199" s="3"/>
      <c r="K199" s="90"/>
    </row>
    <row r="200" ht="12.75" customHeight="1" spans="10:11">
      <c r="J200" s="3"/>
      <c r="K200" s="90"/>
    </row>
    <row r="201" ht="12.75" customHeight="1" spans="10:11">
      <c r="J201" s="3"/>
      <c r="K201" s="90"/>
    </row>
    <row r="202" ht="12.75" customHeight="1" spans="10:11">
      <c r="J202" s="3"/>
      <c r="K202" s="90"/>
    </row>
    <row r="203" ht="12.75" customHeight="1" spans="10:11">
      <c r="J203" s="3"/>
      <c r="K203" s="90"/>
    </row>
    <row r="204" ht="12.75" customHeight="1" spans="10:11">
      <c r="J204" s="3"/>
      <c r="K204" s="90"/>
    </row>
    <row r="205" ht="12.75" customHeight="1" spans="10:11">
      <c r="J205" s="3"/>
      <c r="K205" s="90"/>
    </row>
    <row r="206" ht="12.75" customHeight="1" spans="10:11">
      <c r="J206" s="3"/>
      <c r="K206" s="90"/>
    </row>
    <row r="207" ht="12.75" customHeight="1" spans="10:11">
      <c r="J207" s="3"/>
      <c r="K207" s="90"/>
    </row>
    <row r="208" ht="12.75" customHeight="1" spans="10:11">
      <c r="J208" s="3"/>
      <c r="K208" s="90"/>
    </row>
    <row r="209" ht="12.75" customHeight="1" spans="10:11">
      <c r="J209" s="3"/>
      <c r="K209" s="90"/>
    </row>
    <row r="210" ht="12.75" customHeight="1" spans="10:11">
      <c r="J210" s="3"/>
      <c r="K210" s="90"/>
    </row>
    <row r="211" ht="12.75" customHeight="1" spans="10:11">
      <c r="J211" s="3"/>
      <c r="K211" s="90"/>
    </row>
    <row r="212" ht="12.75" customHeight="1" spans="10:11">
      <c r="J212" s="3"/>
      <c r="K212" s="90"/>
    </row>
    <row r="213" ht="12.75" customHeight="1" spans="10:11">
      <c r="J213" s="3"/>
      <c r="K213" s="90"/>
    </row>
    <row r="214" ht="12.75" customHeight="1" spans="10:11">
      <c r="J214" s="3"/>
      <c r="K214" s="90"/>
    </row>
    <row r="215" ht="12.75" customHeight="1" spans="10:11">
      <c r="J215" s="3"/>
      <c r="K215" s="90"/>
    </row>
    <row r="216" ht="12.75" customHeight="1" spans="10:11">
      <c r="J216" s="3"/>
      <c r="K216" s="90"/>
    </row>
    <row r="217" ht="12.75" customHeight="1" spans="10:11">
      <c r="J217" s="3"/>
      <c r="K217" s="90"/>
    </row>
    <row r="218" ht="12.75" customHeight="1" spans="10:11">
      <c r="J218" s="3"/>
      <c r="K218" s="90"/>
    </row>
    <row r="219" ht="12.75" customHeight="1" spans="10:11">
      <c r="J219" s="3"/>
      <c r="K219" s="90"/>
    </row>
    <row r="220" ht="12.75" customHeight="1" spans="10:11">
      <c r="J220" s="3"/>
      <c r="K220" s="90"/>
    </row>
    <row r="221" ht="12.75" customHeight="1" spans="10:11">
      <c r="J221" s="3"/>
      <c r="K221" s="90"/>
    </row>
    <row r="222" ht="12.75" customHeight="1" spans="10:11">
      <c r="J222" s="3"/>
      <c r="K222" s="90"/>
    </row>
    <row r="223" ht="12.75" customHeight="1" spans="10:11">
      <c r="J223" s="3"/>
      <c r="K223" s="90"/>
    </row>
    <row r="224" ht="12.75" customHeight="1" spans="10:11">
      <c r="J224" s="3"/>
      <c r="K224" s="90"/>
    </row>
    <row r="225" ht="12.75" customHeight="1" spans="10:11">
      <c r="J225" s="3"/>
      <c r="K225" s="90"/>
    </row>
    <row r="226" ht="12.75" customHeight="1" spans="10:11">
      <c r="J226" s="3"/>
      <c r="K226" s="90"/>
    </row>
    <row r="227" ht="12.75" customHeight="1" spans="10:11">
      <c r="J227" s="3"/>
      <c r="K227" s="90"/>
    </row>
    <row r="228" ht="12.75" customHeight="1" spans="10:11">
      <c r="J228" s="3"/>
      <c r="K228" s="90"/>
    </row>
    <row r="229" ht="12.75" customHeight="1" spans="10:11">
      <c r="J229" s="3"/>
      <c r="K229" s="90"/>
    </row>
    <row r="230" ht="12.75" customHeight="1" spans="10:11">
      <c r="J230" s="3"/>
      <c r="K230" s="90"/>
    </row>
    <row r="231" ht="12.75" customHeight="1" spans="10:11">
      <c r="J231" s="3"/>
      <c r="K231" s="9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1">
    <mergeCell ref="B3:D3"/>
    <mergeCell ref="I3:K3"/>
    <mergeCell ref="B4:D4"/>
    <mergeCell ref="I4:K4"/>
    <mergeCell ref="B5:D5"/>
    <mergeCell ref="I5:K5"/>
    <mergeCell ref="I6:K6"/>
    <mergeCell ref="I7:K7"/>
    <mergeCell ref="A8:D8"/>
    <mergeCell ref="A11:K11"/>
    <mergeCell ref="A12:K12"/>
    <mergeCell ref="D13:F13"/>
    <mergeCell ref="D14:F14"/>
    <mergeCell ref="D15:F15"/>
    <mergeCell ref="D16:F16"/>
    <mergeCell ref="D17:F17"/>
    <mergeCell ref="A18:K18"/>
    <mergeCell ref="D19:F19"/>
    <mergeCell ref="D20:F20"/>
    <mergeCell ref="D21:F21"/>
    <mergeCell ref="D22:F22"/>
    <mergeCell ref="D23:F23"/>
    <mergeCell ref="D24:F24"/>
    <mergeCell ref="A25:K25"/>
    <mergeCell ref="D26:F26"/>
    <mergeCell ref="A27:K27"/>
    <mergeCell ref="D28:F28"/>
    <mergeCell ref="D29:F29"/>
    <mergeCell ref="A30:K30"/>
    <mergeCell ref="D31:F31"/>
    <mergeCell ref="A32:K32"/>
    <mergeCell ref="D33:F33"/>
    <mergeCell ref="A9:A10"/>
    <mergeCell ref="B9:B10"/>
    <mergeCell ref="C9:C10"/>
    <mergeCell ref="H9:H10"/>
    <mergeCell ref="I9:I10"/>
    <mergeCell ref="J9:J10"/>
    <mergeCell ref="K9:K10"/>
    <mergeCell ref="B1:D2"/>
    <mergeCell ref="D9:G10"/>
  </mergeCells>
  <pageMargins left="0.75" right="0.75" top="1" bottom="1" header="0" footer="0"/>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6"/>
  <sheetViews>
    <sheetView workbookViewId="0">
      <selection activeCell="A1" sqref="A1"/>
    </sheetView>
  </sheetViews>
  <sheetFormatPr defaultColWidth="12.6296296296296" defaultRowHeight="15" customHeight="1"/>
  <cols>
    <col min="1" max="1" width="15.6296296296296" customWidth="1"/>
    <col min="2" max="2" width="18.1296296296296" customWidth="1"/>
    <col min="3" max="3" width="42.1296296296296" customWidth="1"/>
    <col min="4" max="5" width="8.87962962962963" customWidth="1"/>
    <col min="6" max="6" width="23.6296296296296" customWidth="1"/>
    <col min="7" max="7" width="18.5" hidden="1" customWidth="1"/>
    <col min="8" max="8" width="38" customWidth="1"/>
    <col min="9" max="9" width="17.1296296296296" customWidth="1"/>
    <col min="10" max="10" width="9" customWidth="1"/>
    <col min="11" max="11" width="18" customWidth="1"/>
    <col min="12" max="26" width="8.87962962962963" customWidth="1"/>
  </cols>
  <sheetData>
    <row r="1" ht="12.75" customHeight="1" spans="1:26">
      <c r="A1" s="29" t="s">
        <v>0</v>
      </c>
      <c r="B1" s="30"/>
      <c r="C1" s="31"/>
      <c r="D1" s="31"/>
      <c r="E1" s="32"/>
      <c r="F1" s="32"/>
      <c r="G1" s="32"/>
      <c r="H1" s="32"/>
      <c r="I1" s="32"/>
      <c r="J1" s="33"/>
      <c r="K1" s="32"/>
      <c r="L1" s="34"/>
      <c r="M1" s="35"/>
      <c r="N1" s="35"/>
      <c r="O1" s="35"/>
      <c r="P1" s="35"/>
      <c r="Q1" s="35"/>
      <c r="R1" s="35"/>
      <c r="S1" s="35"/>
      <c r="T1" s="35"/>
      <c r="U1" s="35"/>
      <c r="V1" s="35"/>
      <c r="W1" s="35"/>
      <c r="X1" s="35"/>
      <c r="Y1" s="35"/>
      <c r="Z1" s="35"/>
    </row>
    <row r="2" ht="11.25" customHeight="1" spans="1:26">
      <c r="A2" s="34"/>
      <c r="B2" s="36"/>
      <c r="C2" s="36"/>
      <c r="D2" s="36"/>
      <c r="E2" s="32"/>
      <c r="F2" s="32"/>
      <c r="G2" s="32"/>
      <c r="H2" s="32"/>
      <c r="I2" s="32"/>
      <c r="J2" s="33"/>
      <c r="K2" s="32"/>
      <c r="L2" s="34"/>
      <c r="M2" s="35"/>
      <c r="N2" s="35"/>
      <c r="O2" s="35"/>
      <c r="P2" s="35"/>
      <c r="Q2" s="35"/>
      <c r="R2" s="35"/>
      <c r="S2" s="35"/>
      <c r="T2" s="35"/>
      <c r="U2" s="35"/>
      <c r="V2" s="35"/>
      <c r="W2" s="35"/>
      <c r="X2" s="35"/>
      <c r="Y2" s="35"/>
      <c r="Z2" s="35"/>
    </row>
    <row r="3" ht="13.2" spans="1:26">
      <c r="A3" s="37" t="s">
        <v>20</v>
      </c>
      <c r="B3" s="38" t="s">
        <v>4</v>
      </c>
      <c r="C3" s="39"/>
      <c r="D3" s="40"/>
      <c r="E3" s="41"/>
      <c r="F3" s="41"/>
      <c r="G3" s="41"/>
      <c r="H3" s="41"/>
      <c r="I3" s="42"/>
      <c r="J3" s="31"/>
      <c r="K3" s="31"/>
      <c r="L3" s="43"/>
      <c r="M3" s="44"/>
      <c r="N3" s="44"/>
      <c r="O3" s="44"/>
      <c r="P3" s="44"/>
      <c r="Q3" s="44"/>
      <c r="R3" s="44"/>
      <c r="S3" s="44"/>
      <c r="T3" s="44"/>
      <c r="U3" s="44"/>
      <c r="V3" s="44"/>
      <c r="W3" s="44"/>
      <c r="X3" s="44"/>
      <c r="Y3" s="44"/>
      <c r="Z3" s="44"/>
    </row>
    <row r="4" ht="12.75" customHeight="1" spans="1:26">
      <c r="A4" s="45" t="s">
        <v>21</v>
      </c>
      <c r="B4" s="46" t="s">
        <v>117</v>
      </c>
      <c r="C4" s="47"/>
      <c r="D4" s="48"/>
      <c r="E4" s="41"/>
      <c r="F4" s="41"/>
      <c r="G4" s="41"/>
      <c r="H4" s="41"/>
      <c r="I4" s="42"/>
      <c r="J4" s="31"/>
      <c r="K4" s="31"/>
      <c r="L4" s="43"/>
      <c r="M4" s="44"/>
      <c r="N4" s="44"/>
      <c r="O4" s="44"/>
      <c r="P4" s="44"/>
      <c r="Q4" s="44"/>
      <c r="R4" s="44"/>
      <c r="S4" s="44"/>
      <c r="T4" s="44"/>
      <c r="U4" s="44"/>
      <c r="V4" s="44"/>
      <c r="W4" s="44"/>
      <c r="X4" s="44"/>
      <c r="Y4" s="44"/>
      <c r="Z4" s="44"/>
    </row>
    <row r="5" ht="12.75" customHeight="1" spans="1:26">
      <c r="A5" s="45" t="s">
        <v>23</v>
      </c>
      <c r="B5" s="49" t="s">
        <v>24</v>
      </c>
      <c r="C5" s="47"/>
      <c r="D5" s="48"/>
      <c r="E5" s="50"/>
      <c r="F5" s="50"/>
      <c r="G5" s="50"/>
      <c r="H5" s="50"/>
      <c r="I5" s="51"/>
      <c r="J5" s="31"/>
      <c r="K5" s="31"/>
      <c r="L5" s="52"/>
      <c r="M5" s="53"/>
      <c r="N5" s="53"/>
      <c r="O5" s="53"/>
      <c r="P5" s="53"/>
      <c r="Q5" s="53"/>
      <c r="R5" s="53"/>
      <c r="S5" s="53"/>
      <c r="T5" s="53"/>
      <c r="U5" s="53"/>
      <c r="V5" s="53"/>
      <c r="W5" s="53"/>
      <c r="X5" s="53"/>
      <c r="Y5" s="53"/>
      <c r="Z5" s="53"/>
    </row>
    <row r="6" ht="13.2" spans="1:26">
      <c r="A6" s="54" t="s">
        <v>25</v>
      </c>
      <c r="B6" s="55">
        <f>COUNTIF(J12:J100,"Pass")</f>
        <v>0</v>
      </c>
      <c r="C6" s="56" t="s">
        <v>26</v>
      </c>
      <c r="D6" s="57">
        <f>COUNTIF(J10:J732,"Pending")</f>
        <v>7</v>
      </c>
      <c r="E6" s="42"/>
      <c r="F6" s="42"/>
      <c r="G6" s="42"/>
      <c r="H6" s="42"/>
      <c r="I6" s="42"/>
      <c r="J6" s="31"/>
      <c r="K6" s="31"/>
      <c r="L6" s="43"/>
      <c r="M6" s="44"/>
      <c r="N6" s="44"/>
      <c r="O6" s="44"/>
      <c r="P6" s="44"/>
      <c r="Q6" s="44"/>
      <c r="R6" s="44"/>
      <c r="S6" s="44"/>
      <c r="T6" s="44"/>
      <c r="U6" s="44"/>
      <c r="V6" s="44"/>
      <c r="W6" s="44"/>
      <c r="X6" s="44"/>
      <c r="Y6" s="44"/>
      <c r="Z6" s="44"/>
    </row>
    <row r="7" ht="13.95" spans="1:26">
      <c r="A7" s="58" t="s">
        <v>27</v>
      </c>
      <c r="B7" s="59">
        <f>COUNTIF(J12:J100,"Fail")</f>
        <v>0</v>
      </c>
      <c r="C7" s="60" t="s">
        <v>28</v>
      </c>
      <c r="D7" s="61">
        <f>COUNTA(A12:A100)-3</f>
        <v>7</v>
      </c>
      <c r="E7" s="62"/>
      <c r="F7" s="62"/>
      <c r="G7" s="62"/>
      <c r="H7" s="62"/>
      <c r="I7" s="42"/>
      <c r="J7" s="31"/>
      <c r="K7" s="31"/>
      <c r="L7" s="43"/>
      <c r="M7" s="44"/>
      <c r="N7" s="44"/>
      <c r="O7" s="44"/>
      <c r="P7" s="44"/>
      <c r="Q7" s="44"/>
      <c r="R7" s="44"/>
      <c r="S7" s="44"/>
      <c r="T7" s="44"/>
      <c r="U7" s="44"/>
      <c r="V7" s="44"/>
      <c r="W7" s="44"/>
      <c r="X7" s="44"/>
      <c r="Y7" s="44"/>
      <c r="Z7" s="44"/>
    </row>
    <row r="8" ht="13.2" spans="1:26">
      <c r="A8" s="63"/>
      <c r="B8" s="39"/>
      <c r="C8" s="39"/>
      <c r="D8" s="39"/>
      <c r="E8" s="42"/>
      <c r="F8" s="42"/>
      <c r="G8" s="42"/>
      <c r="H8" s="42"/>
      <c r="I8" s="42"/>
      <c r="J8" s="64"/>
      <c r="K8" s="64"/>
      <c r="L8" s="43"/>
      <c r="M8" s="44"/>
      <c r="N8" s="44"/>
      <c r="O8" s="44"/>
      <c r="P8" s="44"/>
      <c r="Q8" s="44"/>
      <c r="R8" s="44"/>
      <c r="S8" s="44"/>
      <c r="T8" s="44"/>
      <c r="U8" s="44"/>
      <c r="V8" s="44"/>
      <c r="W8" s="44"/>
      <c r="X8" s="44"/>
      <c r="Y8" s="44"/>
      <c r="Z8" s="44"/>
    </row>
    <row r="9" ht="12" customHeight="1" spans="1:26">
      <c r="A9" s="65" t="s">
        <v>29</v>
      </c>
      <c r="B9" s="91" t="s">
        <v>30</v>
      </c>
      <c r="C9" s="65" t="s">
        <v>31</v>
      </c>
      <c r="D9" s="67" t="s">
        <v>32</v>
      </c>
      <c r="E9" s="31"/>
      <c r="F9" s="31"/>
      <c r="G9" s="68"/>
      <c r="H9" s="65" t="s">
        <v>33</v>
      </c>
      <c r="I9" s="69" t="s">
        <v>34</v>
      </c>
      <c r="J9" s="69" t="s">
        <v>35</v>
      </c>
      <c r="K9" s="69" t="s">
        <v>36</v>
      </c>
      <c r="L9" s="70"/>
      <c r="M9" s="71"/>
      <c r="N9" s="71"/>
      <c r="O9" s="71"/>
      <c r="P9" s="71"/>
      <c r="Q9" s="71"/>
      <c r="R9" s="71"/>
      <c r="S9" s="71"/>
      <c r="T9" s="71"/>
      <c r="U9" s="71"/>
      <c r="V9" s="71"/>
      <c r="W9" s="71"/>
      <c r="X9" s="71"/>
      <c r="Y9" s="71"/>
      <c r="Z9" s="71"/>
    </row>
    <row r="10" ht="15.75" customHeight="1" spans="1:26">
      <c r="A10" s="72"/>
      <c r="B10" s="72"/>
      <c r="C10" s="72"/>
      <c r="D10" s="73"/>
      <c r="E10" s="74"/>
      <c r="F10" s="74"/>
      <c r="G10" s="75"/>
      <c r="H10" s="72"/>
      <c r="I10" s="72"/>
      <c r="J10" s="72"/>
      <c r="K10" s="72"/>
      <c r="L10" s="43"/>
      <c r="M10" s="44"/>
      <c r="N10" s="44"/>
      <c r="O10" s="44"/>
      <c r="P10" s="44"/>
      <c r="Q10" s="44"/>
      <c r="R10" s="44"/>
      <c r="S10" s="44"/>
      <c r="T10" s="44"/>
      <c r="U10" s="44"/>
      <c r="V10" s="44"/>
      <c r="W10" s="44"/>
      <c r="X10" s="44"/>
      <c r="Y10" s="44"/>
      <c r="Z10" s="44"/>
    </row>
    <row r="11" ht="12.75" customHeight="1" spans="1:26">
      <c r="A11" s="76"/>
      <c r="B11" s="47"/>
      <c r="C11" s="47"/>
      <c r="D11" s="47"/>
      <c r="E11" s="47"/>
      <c r="F11" s="47"/>
      <c r="G11" s="47"/>
      <c r="H11" s="47"/>
      <c r="I11" s="47"/>
      <c r="J11" s="47"/>
      <c r="K11" s="77"/>
      <c r="L11" s="78"/>
      <c r="M11" s="78"/>
      <c r="N11" s="78"/>
      <c r="O11" s="78"/>
      <c r="P11" s="78"/>
      <c r="Q11" s="78"/>
      <c r="R11" s="78"/>
      <c r="S11" s="78"/>
      <c r="T11" s="78"/>
      <c r="U11" s="78"/>
      <c r="V11" s="78"/>
      <c r="W11" s="78"/>
      <c r="X11" s="78"/>
      <c r="Y11" s="78"/>
      <c r="Z11" s="78"/>
    </row>
    <row r="12" ht="16.5" customHeight="1" spans="1:26">
      <c r="A12" s="79" t="s">
        <v>118</v>
      </c>
      <c r="B12" s="47"/>
      <c r="C12" s="47"/>
      <c r="D12" s="47"/>
      <c r="E12" s="47"/>
      <c r="F12" s="47"/>
      <c r="G12" s="47"/>
      <c r="H12" s="47"/>
      <c r="I12" s="47"/>
      <c r="J12" s="47"/>
      <c r="K12" s="77"/>
      <c r="L12" s="80"/>
      <c r="M12" s="80"/>
      <c r="N12" s="80"/>
      <c r="O12" s="80"/>
      <c r="P12" s="80"/>
      <c r="Q12" s="80"/>
      <c r="R12" s="80"/>
      <c r="S12" s="80"/>
      <c r="T12" s="80"/>
      <c r="U12" s="80"/>
      <c r="V12" s="80"/>
      <c r="W12" s="80"/>
      <c r="X12" s="80"/>
      <c r="Y12" s="80"/>
      <c r="Z12" s="80"/>
    </row>
    <row r="13" ht="58.5" customHeight="1" outlineLevel="1" spans="1:26">
      <c r="A13" s="81" t="s">
        <v>38</v>
      </c>
      <c r="B13" s="82" t="s">
        <v>119</v>
      </c>
      <c r="C13" s="83" t="s">
        <v>120</v>
      </c>
      <c r="D13" s="84" t="s">
        <v>121</v>
      </c>
      <c r="E13" s="47"/>
      <c r="F13" s="47"/>
      <c r="G13" s="85"/>
      <c r="H13" s="86"/>
      <c r="I13" s="87"/>
      <c r="J13" s="83" t="s">
        <v>26</v>
      </c>
      <c r="K13" s="83"/>
      <c r="L13" s="80"/>
      <c r="M13" s="80"/>
      <c r="N13" s="80"/>
      <c r="O13" s="80"/>
      <c r="P13" s="80"/>
      <c r="Q13" s="80"/>
      <c r="R13" s="80"/>
      <c r="S13" s="80"/>
      <c r="T13" s="80"/>
      <c r="U13" s="80"/>
      <c r="V13" s="80"/>
      <c r="W13" s="80"/>
      <c r="X13" s="80"/>
      <c r="Y13" s="80"/>
      <c r="Z13" s="80"/>
    </row>
    <row r="14" ht="57" customHeight="1" outlineLevel="1" spans="1:26">
      <c r="A14" s="81" t="s">
        <v>43</v>
      </c>
      <c r="B14" s="82" t="s">
        <v>122</v>
      </c>
      <c r="C14" s="83" t="s">
        <v>123</v>
      </c>
      <c r="D14" s="84" t="s">
        <v>121</v>
      </c>
      <c r="E14" s="47"/>
      <c r="F14" s="47"/>
      <c r="G14" s="85"/>
      <c r="H14" s="86"/>
      <c r="I14" s="87"/>
      <c r="J14" s="83" t="s">
        <v>26</v>
      </c>
      <c r="K14" s="83"/>
      <c r="L14" s="80"/>
      <c r="M14" s="80"/>
      <c r="N14" s="80"/>
      <c r="O14" s="80"/>
      <c r="P14" s="80"/>
      <c r="Q14" s="80"/>
      <c r="R14" s="80"/>
      <c r="S14" s="80"/>
      <c r="T14" s="80"/>
      <c r="U14" s="80"/>
      <c r="V14" s="80"/>
      <c r="W14" s="80"/>
      <c r="X14" s="80"/>
      <c r="Y14" s="80"/>
      <c r="Z14" s="80"/>
    </row>
    <row r="15" ht="45.75" customHeight="1" outlineLevel="1" spans="1:26">
      <c r="A15" s="81" t="s">
        <v>48</v>
      </c>
      <c r="B15" s="89" t="s">
        <v>124</v>
      </c>
      <c r="C15" s="83" t="s">
        <v>125</v>
      </c>
      <c r="D15" s="84" t="s">
        <v>126</v>
      </c>
      <c r="E15" s="47"/>
      <c r="F15" s="47"/>
      <c r="G15" s="85"/>
      <c r="H15" s="86"/>
      <c r="I15" s="84"/>
      <c r="J15" s="83" t="s">
        <v>26</v>
      </c>
      <c r="K15" s="83"/>
      <c r="L15" s="80"/>
      <c r="M15" s="80"/>
      <c r="N15" s="80"/>
      <c r="O15" s="80"/>
      <c r="P15" s="80"/>
      <c r="Q15" s="80"/>
      <c r="R15" s="80"/>
      <c r="S15" s="80"/>
      <c r="T15" s="80"/>
      <c r="U15" s="80"/>
      <c r="V15" s="80"/>
      <c r="W15" s="80"/>
      <c r="X15" s="80"/>
      <c r="Y15" s="80"/>
      <c r="Z15" s="80"/>
    </row>
    <row r="16" ht="15.75" customHeight="1" spans="1:26">
      <c r="A16" s="79" t="s">
        <v>127</v>
      </c>
      <c r="B16" s="47"/>
      <c r="C16" s="47"/>
      <c r="D16" s="47"/>
      <c r="E16" s="47"/>
      <c r="F16" s="47"/>
      <c r="G16" s="47"/>
      <c r="H16" s="47"/>
      <c r="I16" s="47"/>
      <c r="J16" s="47"/>
      <c r="K16" s="77"/>
      <c r="L16" s="80"/>
      <c r="M16" s="80"/>
      <c r="N16" s="80"/>
      <c r="O16" s="80"/>
      <c r="P16" s="80"/>
      <c r="Q16" s="80"/>
      <c r="R16" s="80"/>
      <c r="S16" s="80"/>
      <c r="T16" s="80"/>
      <c r="U16" s="80"/>
      <c r="V16" s="80"/>
      <c r="W16" s="80"/>
      <c r="X16" s="80"/>
      <c r="Y16" s="80"/>
      <c r="Z16" s="80"/>
    </row>
    <row r="17" ht="48" customHeight="1" outlineLevel="1" spans="1:26">
      <c r="A17" s="81" t="s">
        <v>63</v>
      </c>
      <c r="B17" s="82" t="s">
        <v>128</v>
      </c>
      <c r="C17" s="83" t="s">
        <v>129</v>
      </c>
      <c r="D17" s="84" t="s">
        <v>130</v>
      </c>
      <c r="E17" s="47"/>
      <c r="F17" s="47"/>
      <c r="G17" s="85"/>
      <c r="H17" s="86"/>
      <c r="I17" s="87"/>
      <c r="J17" s="83" t="s">
        <v>26</v>
      </c>
      <c r="K17" s="83"/>
      <c r="L17" s="80"/>
      <c r="M17" s="80"/>
      <c r="N17" s="80"/>
      <c r="O17" s="80"/>
      <c r="P17" s="80"/>
      <c r="Q17" s="80"/>
      <c r="R17" s="80"/>
      <c r="S17" s="80"/>
      <c r="T17" s="80"/>
      <c r="U17" s="80"/>
      <c r="V17" s="80"/>
      <c r="W17" s="80"/>
      <c r="X17" s="80"/>
      <c r="Y17" s="80"/>
      <c r="Z17" s="80"/>
    </row>
    <row r="18" ht="101.25" customHeight="1" outlineLevel="1" spans="1:26">
      <c r="A18" s="81" t="s">
        <v>67</v>
      </c>
      <c r="B18" s="81" t="s">
        <v>131</v>
      </c>
      <c r="C18" s="83" t="s">
        <v>132</v>
      </c>
      <c r="D18" s="84" t="s">
        <v>133</v>
      </c>
      <c r="E18" s="47"/>
      <c r="F18" s="47"/>
      <c r="G18" s="85"/>
      <c r="H18" s="86"/>
      <c r="I18" s="87"/>
      <c r="J18" s="83" t="s">
        <v>26</v>
      </c>
      <c r="K18" s="83"/>
      <c r="L18" s="80"/>
      <c r="M18" s="80"/>
      <c r="N18" s="80"/>
      <c r="O18" s="80"/>
      <c r="P18" s="80"/>
      <c r="Q18" s="80"/>
      <c r="R18" s="80"/>
      <c r="S18" s="80"/>
      <c r="T18" s="80"/>
      <c r="U18" s="80"/>
      <c r="V18" s="80"/>
      <c r="W18" s="80"/>
      <c r="X18" s="80"/>
      <c r="Y18" s="80"/>
      <c r="Z18" s="80"/>
    </row>
    <row r="19" ht="15.75" customHeight="1" spans="1:26">
      <c r="A19" s="79" t="s">
        <v>134</v>
      </c>
      <c r="B19" s="47"/>
      <c r="C19" s="47"/>
      <c r="D19" s="47"/>
      <c r="E19" s="47"/>
      <c r="F19" s="47"/>
      <c r="G19" s="47"/>
      <c r="H19" s="47"/>
      <c r="I19" s="47"/>
      <c r="J19" s="47"/>
      <c r="K19" s="77"/>
      <c r="L19" s="80"/>
      <c r="M19" s="80"/>
      <c r="N19" s="80"/>
      <c r="O19" s="80"/>
      <c r="P19" s="80"/>
      <c r="Q19" s="80"/>
      <c r="R19" s="80"/>
      <c r="S19" s="80"/>
      <c r="T19" s="80"/>
      <c r="U19" s="80"/>
      <c r="V19" s="80"/>
      <c r="W19" s="80"/>
      <c r="X19" s="80"/>
      <c r="Y19" s="80"/>
      <c r="Z19" s="80"/>
    </row>
    <row r="20" ht="69.75" customHeight="1" outlineLevel="1" spans="1:26">
      <c r="A20" s="81" t="s">
        <v>71</v>
      </c>
      <c r="B20" s="82" t="s">
        <v>135</v>
      </c>
      <c r="C20" s="83" t="s">
        <v>136</v>
      </c>
      <c r="D20" s="84" t="s">
        <v>137</v>
      </c>
      <c r="E20" s="47"/>
      <c r="F20" s="47"/>
      <c r="G20" s="85"/>
      <c r="H20" s="86"/>
      <c r="I20" s="87"/>
      <c r="J20" s="83" t="s">
        <v>26</v>
      </c>
      <c r="K20" s="83"/>
      <c r="L20" s="80"/>
      <c r="M20" s="80"/>
      <c r="N20" s="80"/>
      <c r="O20" s="80"/>
      <c r="P20" s="80"/>
      <c r="Q20" s="80"/>
      <c r="R20" s="80"/>
      <c r="S20" s="80"/>
      <c r="T20" s="80"/>
      <c r="U20" s="80"/>
      <c r="V20" s="80"/>
      <c r="W20" s="80"/>
      <c r="X20" s="80"/>
      <c r="Y20" s="80"/>
      <c r="Z20" s="80"/>
    </row>
    <row r="21" ht="105" customHeight="1" outlineLevel="1" spans="1:26">
      <c r="A21" s="81" t="s">
        <v>75</v>
      </c>
      <c r="B21" s="82" t="s">
        <v>138</v>
      </c>
      <c r="C21" s="83" t="s">
        <v>139</v>
      </c>
      <c r="D21" s="84" t="s">
        <v>140</v>
      </c>
      <c r="E21" s="47"/>
      <c r="F21" s="47"/>
      <c r="G21" s="85"/>
      <c r="H21" s="86"/>
      <c r="I21" s="87"/>
      <c r="J21" s="83" t="s">
        <v>26</v>
      </c>
      <c r="K21" s="83"/>
      <c r="L21" s="80"/>
      <c r="M21" s="80"/>
      <c r="N21" s="80"/>
      <c r="O21" s="80"/>
      <c r="P21" s="80"/>
      <c r="Q21" s="80"/>
      <c r="R21" s="80"/>
      <c r="S21" s="80"/>
      <c r="T21" s="80"/>
      <c r="U21" s="80"/>
      <c r="V21" s="80"/>
      <c r="W21" s="80"/>
      <c r="X21" s="80"/>
      <c r="Y21" s="80"/>
      <c r="Z21" s="80"/>
    </row>
    <row r="22" ht="12" customHeight="1" spans="1:26">
      <c r="J22" s="3"/>
      <c r="K22" s="90"/>
    </row>
    <row r="23" ht="12" customHeight="1" spans="1:26">
      <c r="J23" s="3"/>
      <c r="K23" s="90"/>
    </row>
    <row r="24" ht="12" customHeight="1" spans="1:26">
      <c r="J24" s="3"/>
      <c r="K24" s="90"/>
    </row>
    <row r="25" ht="12" customHeight="1" spans="1:26">
      <c r="J25" s="3"/>
      <c r="K25" s="90"/>
    </row>
    <row r="26" ht="12" customHeight="1" spans="1:26">
      <c r="J26" s="3"/>
      <c r="K26" s="90"/>
    </row>
    <row r="27" ht="12" customHeight="1" spans="1:26">
      <c r="J27" s="3"/>
      <c r="K27" s="90"/>
    </row>
    <row r="28" ht="12" customHeight="1" spans="1:26">
      <c r="J28" s="3"/>
      <c r="K28" s="90"/>
    </row>
    <row r="29" ht="12" customHeight="1" spans="1:26">
      <c r="J29" s="3"/>
      <c r="K29" s="90"/>
    </row>
    <row r="30" ht="12" customHeight="1" spans="1:26">
      <c r="J30" s="3"/>
      <c r="K30" s="90"/>
    </row>
    <row r="31" ht="12" customHeight="1" spans="1:26">
      <c r="J31" s="3"/>
      <c r="K31" s="90"/>
    </row>
    <row r="32" ht="12" customHeight="1" spans="1:26">
      <c r="J32" s="3"/>
      <c r="K32" s="90"/>
    </row>
    <row r="33" ht="12" customHeight="1" spans="10:11">
      <c r="J33" s="3"/>
      <c r="K33" s="90"/>
    </row>
    <row r="34" ht="12" customHeight="1" spans="10:11">
      <c r="J34" s="3"/>
      <c r="K34" s="90"/>
    </row>
    <row r="35" ht="12" customHeight="1" spans="10:11">
      <c r="J35" s="3"/>
      <c r="K35" s="90"/>
    </row>
    <row r="36" ht="12" customHeight="1" spans="10:11">
      <c r="J36" s="3"/>
      <c r="K36" s="90"/>
    </row>
    <row r="37" ht="12" customHeight="1" spans="10:11">
      <c r="J37" s="3"/>
      <c r="K37" s="90"/>
    </row>
    <row r="38" ht="12" customHeight="1" spans="10:11">
      <c r="J38" s="3"/>
      <c r="K38" s="90"/>
    </row>
    <row r="39" ht="12" customHeight="1" spans="10:11">
      <c r="J39" s="3"/>
      <c r="K39" s="90"/>
    </row>
    <row r="40" ht="12" customHeight="1" spans="10:11">
      <c r="J40" s="3"/>
      <c r="K40" s="90"/>
    </row>
    <row r="41" ht="12" customHeight="1" spans="10:11">
      <c r="J41" s="3"/>
      <c r="K41" s="90"/>
    </row>
    <row r="42" ht="12" customHeight="1" spans="10:11">
      <c r="J42" s="3"/>
      <c r="K42" s="90"/>
    </row>
    <row r="43" ht="12" customHeight="1" spans="10:11">
      <c r="J43" s="3"/>
      <c r="K43" s="90"/>
    </row>
    <row r="44" ht="12" customHeight="1" spans="10:11">
      <c r="J44" s="3"/>
      <c r="K44" s="90"/>
    </row>
    <row r="45" ht="12" customHeight="1" spans="10:11">
      <c r="J45" s="3"/>
      <c r="K45" s="90"/>
    </row>
    <row r="46" ht="12" customHeight="1" spans="10:11">
      <c r="J46" s="3"/>
      <c r="K46" s="90"/>
    </row>
    <row r="47" ht="12" customHeight="1" spans="10:11">
      <c r="J47" s="3"/>
      <c r="K47" s="90"/>
    </row>
    <row r="48" ht="12" customHeight="1" spans="10:11">
      <c r="J48" s="3"/>
      <c r="K48" s="90"/>
    </row>
    <row r="49" ht="12" customHeight="1" spans="10:11">
      <c r="J49" s="3"/>
      <c r="K49" s="90"/>
    </row>
    <row r="50" ht="12" customHeight="1" spans="10:11">
      <c r="J50" s="3"/>
      <c r="K50" s="90"/>
    </row>
    <row r="51" ht="12" customHeight="1" spans="10:11">
      <c r="J51" s="3"/>
      <c r="K51" s="90"/>
    </row>
    <row r="52" ht="12.75" customHeight="1" spans="10:11">
      <c r="J52" s="3"/>
      <c r="K52" s="90"/>
    </row>
    <row r="53" ht="12.75" customHeight="1" spans="10:11">
      <c r="J53" s="3"/>
      <c r="K53" s="90"/>
    </row>
    <row r="54" ht="12.75" customHeight="1" spans="10:11">
      <c r="J54" s="3"/>
      <c r="K54" s="90"/>
    </row>
    <row r="55" ht="12.75" customHeight="1" spans="10:11">
      <c r="J55" s="3"/>
      <c r="K55" s="90"/>
    </row>
    <row r="56" ht="12.75" customHeight="1" spans="10:11">
      <c r="J56" s="3"/>
      <c r="K56" s="90"/>
    </row>
    <row r="57" ht="12.75" customHeight="1" spans="10:11">
      <c r="J57" s="3"/>
      <c r="K57" s="90"/>
    </row>
    <row r="58" ht="12.75" customHeight="1" spans="10:11">
      <c r="J58" s="3"/>
      <c r="K58" s="90"/>
    </row>
    <row r="59" ht="12.75" customHeight="1" spans="10:11">
      <c r="J59" s="3"/>
      <c r="K59" s="90"/>
    </row>
    <row r="60" ht="12.75" customHeight="1" spans="10:11">
      <c r="J60" s="3"/>
      <c r="K60" s="90"/>
    </row>
    <row r="61" ht="12.75" customHeight="1" spans="10:11">
      <c r="J61" s="3"/>
      <c r="K61" s="90"/>
    </row>
    <row r="62" ht="12.75" customHeight="1" spans="10:11">
      <c r="J62" s="3"/>
      <c r="K62" s="90"/>
    </row>
    <row r="63" ht="12.75" customHeight="1" spans="10:11">
      <c r="J63" s="3"/>
      <c r="K63" s="90"/>
    </row>
    <row r="64" ht="12.75" customHeight="1" spans="10:11">
      <c r="J64" s="3"/>
      <c r="K64" s="90"/>
    </row>
    <row r="65" ht="12.75" customHeight="1" spans="10:11">
      <c r="J65" s="3"/>
      <c r="K65" s="90"/>
    </row>
    <row r="66" ht="12.75" customHeight="1" spans="10:11">
      <c r="J66" s="3"/>
      <c r="K66" s="90"/>
    </row>
    <row r="67" ht="12.75" customHeight="1" spans="10:11">
      <c r="J67" s="3"/>
      <c r="K67" s="90"/>
    </row>
    <row r="68" ht="12.75" customHeight="1" spans="10:11">
      <c r="J68" s="3"/>
      <c r="K68" s="90"/>
    </row>
    <row r="69" ht="12.75" customHeight="1" spans="10:11">
      <c r="J69" s="3"/>
      <c r="K69" s="90"/>
    </row>
    <row r="70" ht="12.75" customHeight="1" spans="10:11">
      <c r="J70" s="3"/>
      <c r="K70" s="90"/>
    </row>
    <row r="71" ht="12.75" customHeight="1" spans="10:11">
      <c r="J71" s="3"/>
      <c r="K71" s="90"/>
    </row>
    <row r="72" ht="12.75" customHeight="1" spans="10:11">
      <c r="J72" s="3"/>
      <c r="K72" s="90"/>
    </row>
    <row r="73" ht="12.75" customHeight="1" spans="10:11">
      <c r="J73" s="3"/>
      <c r="K73" s="90"/>
    </row>
    <row r="74" ht="12.75" customHeight="1" spans="10:11">
      <c r="J74" s="3"/>
      <c r="K74" s="90"/>
    </row>
    <row r="75" ht="12.75" customHeight="1" spans="10:11">
      <c r="J75" s="3"/>
      <c r="K75" s="90"/>
    </row>
    <row r="76" ht="12.75" customHeight="1" spans="10:11">
      <c r="J76" s="3"/>
      <c r="K76" s="90"/>
    </row>
    <row r="77" ht="12.75" customHeight="1" spans="10:11">
      <c r="J77" s="3"/>
      <c r="K77" s="90"/>
    </row>
    <row r="78" ht="12.75" customHeight="1" spans="10:11">
      <c r="J78" s="3"/>
      <c r="K78" s="90"/>
    </row>
    <row r="79" ht="12.75" customHeight="1" spans="10:11">
      <c r="J79" s="3"/>
      <c r="K79" s="90"/>
    </row>
    <row r="80" ht="12.75" customHeight="1" spans="10:11">
      <c r="J80" s="3"/>
      <c r="K80" s="90"/>
    </row>
    <row r="81" ht="12.75" customHeight="1" spans="10:11">
      <c r="J81" s="3"/>
      <c r="K81" s="90"/>
    </row>
    <row r="82" ht="12.75" customHeight="1" spans="10:11">
      <c r="J82" s="3"/>
      <c r="K82" s="90"/>
    </row>
    <row r="83" ht="12.75" customHeight="1" spans="10:11">
      <c r="J83" s="3"/>
      <c r="K83" s="90"/>
    </row>
    <row r="84" ht="12.75" customHeight="1" spans="10:11">
      <c r="J84" s="3"/>
      <c r="K84" s="90"/>
    </row>
    <row r="85" ht="12.75" customHeight="1" spans="10:11">
      <c r="J85" s="3"/>
      <c r="K85" s="90"/>
    </row>
    <row r="86" ht="12.75" customHeight="1" spans="10:11">
      <c r="J86" s="3"/>
      <c r="K86" s="90"/>
    </row>
    <row r="87" ht="12.75" customHeight="1" spans="10:11">
      <c r="J87" s="3"/>
      <c r="K87" s="90"/>
    </row>
    <row r="88" ht="12.75" customHeight="1" spans="10:11">
      <c r="J88" s="3"/>
      <c r="K88" s="90"/>
    </row>
    <row r="89" ht="12.75" customHeight="1" spans="10:11">
      <c r="J89" s="3"/>
      <c r="K89" s="90"/>
    </row>
    <row r="90" ht="12.75" customHeight="1" spans="10:11">
      <c r="J90" s="3"/>
      <c r="K90" s="90"/>
    </row>
    <row r="91" ht="12.75" customHeight="1" spans="10:11">
      <c r="J91" s="3"/>
      <c r="K91" s="90"/>
    </row>
    <row r="92" ht="12.75" customHeight="1" spans="10:11">
      <c r="J92" s="3"/>
      <c r="K92" s="90"/>
    </row>
    <row r="93" ht="12.75" customHeight="1" spans="10:11">
      <c r="J93" s="3"/>
      <c r="K93" s="90"/>
    </row>
    <row r="94" ht="12.75" customHeight="1" spans="10:11">
      <c r="J94" s="3"/>
      <c r="K94" s="90"/>
    </row>
    <row r="95" ht="12.75" customHeight="1" spans="10:11">
      <c r="J95" s="3"/>
      <c r="K95" s="90"/>
    </row>
    <row r="96" ht="12.75" customHeight="1" spans="10:11">
      <c r="J96" s="3"/>
      <c r="K96" s="90"/>
    </row>
    <row r="97" ht="12.75" customHeight="1" spans="10:11">
      <c r="J97" s="3"/>
      <c r="K97" s="90"/>
    </row>
    <row r="98" ht="12.75" customHeight="1" spans="10:11">
      <c r="J98" s="3"/>
      <c r="K98" s="90"/>
    </row>
    <row r="99" ht="12.75" customHeight="1" spans="10:11">
      <c r="J99" s="3"/>
      <c r="K99" s="90"/>
    </row>
    <row r="100" ht="12.75" customHeight="1" spans="10:11">
      <c r="J100" s="3"/>
      <c r="K100" s="90"/>
    </row>
    <row r="101" ht="12.75" customHeight="1" spans="10:11">
      <c r="J101" s="3"/>
      <c r="K101" s="90"/>
    </row>
    <row r="102" ht="12.75" customHeight="1" spans="10:11">
      <c r="J102" s="3"/>
      <c r="K102" s="90"/>
    </row>
    <row r="103" ht="12.75" customHeight="1" spans="10:11">
      <c r="J103" s="3"/>
      <c r="K103" s="90"/>
    </row>
    <row r="104" ht="12.75" customHeight="1" spans="10:11">
      <c r="J104" s="3"/>
      <c r="K104" s="90"/>
    </row>
    <row r="105" ht="12.75" customHeight="1" spans="10:11">
      <c r="J105" s="3"/>
      <c r="K105" s="90"/>
    </row>
    <row r="106" ht="12.75" customHeight="1" spans="10:11">
      <c r="J106" s="3"/>
      <c r="K106" s="90"/>
    </row>
    <row r="107" ht="12.75" customHeight="1" spans="10:11">
      <c r="J107" s="3"/>
      <c r="K107" s="90"/>
    </row>
    <row r="108" ht="12.75" customHeight="1" spans="10:11">
      <c r="J108" s="3"/>
      <c r="K108" s="90"/>
    </row>
    <row r="109" ht="12.75" customHeight="1" spans="10:11">
      <c r="J109" s="3"/>
      <c r="K109" s="90"/>
    </row>
    <row r="110" ht="12.75" customHeight="1" spans="10:11">
      <c r="J110" s="3"/>
      <c r="K110" s="90"/>
    </row>
    <row r="111" ht="12.75" customHeight="1" spans="10:11">
      <c r="J111" s="3"/>
      <c r="K111" s="90"/>
    </row>
    <row r="112" ht="12.75" customHeight="1" spans="10:11">
      <c r="J112" s="3"/>
      <c r="K112" s="90"/>
    </row>
    <row r="113" ht="12.75" customHeight="1" spans="10:11">
      <c r="J113" s="3"/>
      <c r="K113" s="90"/>
    </row>
    <row r="114" ht="12.75" customHeight="1" spans="10:11">
      <c r="J114" s="3"/>
      <c r="K114" s="90"/>
    </row>
    <row r="115" ht="12.75" customHeight="1" spans="10:11">
      <c r="J115" s="3"/>
      <c r="K115" s="90"/>
    </row>
    <row r="116" ht="12.75" customHeight="1" spans="10:11">
      <c r="J116" s="3"/>
      <c r="K116" s="90"/>
    </row>
    <row r="117" ht="12.75" customHeight="1" spans="10:11">
      <c r="J117" s="3"/>
      <c r="K117" s="90"/>
    </row>
    <row r="118" ht="12.75" customHeight="1" spans="10:11">
      <c r="J118" s="3"/>
      <c r="K118" s="90"/>
    </row>
    <row r="119" ht="12.75" customHeight="1" spans="10:11">
      <c r="J119" s="3"/>
      <c r="K119" s="90"/>
    </row>
    <row r="120" ht="12.75" customHeight="1" spans="10:11">
      <c r="J120" s="3"/>
      <c r="K120" s="90"/>
    </row>
    <row r="121" ht="12.75" customHeight="1" spans="10:11">
      <c r="J121" s="3"/>
      <c r="K121" s="90"/>
    </row>
    <row r="122" ht="12.75" customHeight="1" spans="10:11">
      <c r="J122" s="3"/>
      <c r="K122" s="90"/>
    </row>
    <row r="123" ht="12.75" customHeight="1" spans="10:11">
      <c r="J123" s="3"/>
      <c r="K123" s="90"/>
    </row>
    <row r="124" ht="12.75" customHeight="1" spans="10:11">
      <c r="J124" s="3"/>
      <c r="K124" s="90"/>
    </row>
    <row r="125" ht="12.75" customHeight="1" spans="10:11">
      <c r="J125" s="3"/>
      <c r="K125" s="90"/>
    </row>
    <row r="126" ht="12.75" customHeight="1" spans="10:11">
      <c r="J126" s="3"/>
      <c r="K126" s="90"/>
    </row>
    <row r="127" ht="12.75" customHeight="1" spans="10:11">
      <c r="J127" s="3"/>
      <c r="K127" s="90"/>
    </row>
    <row r="128" ht="12.75" customHeight="1" spans="10:11">
      <c r="J128" s="3"/>
      <c r="K128" s="90"/>
    </row>
    <row r="129" ht="12.75" customHeight="1" spans="10:11">
      <c r="J129" s="3"/>
      <c r="K129" s="90"/>
    </row>
    <row r="130" ht="12.75" customHeight="1" spans="10:11">
      <c r="J130" s="3"/>
      <c r="K130" s="90"/>
    </row>
    <row r="131" ht="12.75" customHeight="1" spans="10:11">
      <c r="J131" s="3"/>
      <c r="K131" s="90"/>
    </row>
    <row r="132" ht="12.75" customHeight="1" spans="10:11">
      <c r="J132" s="3"/>
      <c r="K132" s="90"/>
    </row>
    <row r="133" ht="12.75" customHeight="1" spans="10:11">
      <c r="J133" s="3"/>
      <c r="K133" s="90"/>
    </row>
    <row r="134" ht="12.75" customHeight="1" spans="10:11">
      <c r="J134" s="3"/>
      <c r="K134" s="90"/>
    </row>
    <row r="135" ht="12.75" customHeight="1" spans="10:11">
      <c r="J135" s="3"/>
      <c r="K135" s="90"/>
    </row>
    <row r="136" ht="12.75" customHeight="1" spans="10:11">
      <c r="J136" s="3"/>
      <c r="K136" s="90"/>
    </row>
    <row r="137" ht="12.75" customHeight="1" spans="10:11">
      <c r="J137" s="3"/>
      <c r="K137" s="90"/>
    </row>
    <row r="138" ht="12.75" customHeight="1" spans="10:11">
      <c r="J138" s="3"/>
      <c r="K138" s="90"/>
    </row>
    <row r="139" ht="12.75" customHeight="1" spans="10:11">
      <c r="J139" s="3"/>
      <c r="K139" s="90"/>
    </row>
    <row r="140" ht="12.75" customHeight="1" spans="10:11">
      <c r="J140" s="3"/>
      <c r="K140" s="90"/>
    </row>
    <row r="141" ht="12.75" customHeight="1" spans="10:11">
      <c r="J141" s="3"/>
      <c r="K141" s="90"/>
    </row>
    <row r="142" ht="12.75" customHeight="1" spans="10:11">
      <c r="J142" s="3"/>
      <c r="K142" s="90"/>
    </row>
    <row r="143" ht="12.75" customHeight="1" spans="10:11">
      <c r="J143" s="3"/>
      <c r="K143" s="90"/>
    </row>
    <row r="144" ht="12.75" customHeight="1" spans="10:11">
      <c r="J144" s="3"/>
      <c r="K144" s="90"/>
    </row>
    <row r="145" ht="12.75" customHeight="1" spans="10:11">
      <c r="J145" s="3"/>
      <c r="K145" s="90"/>
    </row>
    <row r="146" ht="12.75" customHeight="1" spans="10:11">
      <c r="J146" s="3"/>
      <c r="K146" s="90"/>
    </row>
    <row r="147" ht="12.75" customHeight="1" spans="10:11">
      <c r="J147" s="3"/>
      <c r="K147" s="90"/>
    </row>
    <row r="148" ht="12.75" customHeight="1" spans="10:11">
      <c r="J148" s="3"/>
      <c r="K148" s="90"/>
    </row>
    <row r="149" ht="12.75" customHeight="1" spans="10:11">
      <c r="J149" s="3"/>
      <c r="K149" s="90"/>
    </row>
    <row r="150" ht="12.75" customHeight="1" spans="10:11">
      <c r="J150" s="3"/>
      <c r="K150" s="90"/>
    </row>
    <row r="151" ht="12.75" customHeight="1" spans="10:11">
      <c r="J151" s="3"/>
      <c r="K151" s="90"/>
    </row>
    <row r="152" ht="12.75" customHeight="1" spans="10:11">
      <c r="J152" s="3"/>
      <c r="K152" s="90"/>
    </row>
    <row r="153" ht="12.75" customHeight="1" spans="10:11">
      <c r="J153" s="3"/>
      <c r="K153" s="90"/>
    </row>
    <row r="154" ht="12.75" customHeight="1" spans="10:11">
      <c r="J154" s="3"/>
      <c r="K154" s="90"/>
    </row>
    <row r="155" ht="12.75" customHeight="1" spans="10:11">
      <c r="J155" s="3"/>
      <c r="K155" s="90"/>
    </row>
    <row r="156" ht="12.75" customHeight="1" spans="10:11">
      <c r="J156" s="3"/>
      <c r="K156" s="90"/>
    </row>
    <row r="157" ht="12.75" customHeight="1" spans="10:11">
      <c r="J157" s="3"/>
      <c r="K157" s="90"/>
    </row>
    <row r="158" ht="12.75" customHeight="1" spans="10:11">
      <c r="J158" s="3"/>
      <c r="K158" s="90"/>
    </row>
    <row r="159" ht="12.75" customHeight="1" spans="10:11">
      <c r="J159" s="3"/>
      <c r="K159" s="90"/>
    </row>
    <row r="160" ht="12.75" customHeight="1" spans="10:11">
      <c r="J160" s="3"/>
      <c r="K160" s="90"/>
    </row>
    <row r="161" ht="12.75" customHeight="1" spans="10:11">
      <c r="J161" s="3"/>
      <c r="K161" s="90"/>
    </row>
    <row r="162" ht="12.75" customHeight="1" spans="10:11">
      <c r="J162" s="3"/>
      <c r="K162" s="90"/>
    </row>
    <row r="163" ht="12.75" customHeight="1" spans="10:11">
      <c r="J163" s="3"/>
      <c r="K163" s="90"/>
    </row>
    <row r="164" ht="12.75" customHeight="1" spans="10:11">
      <c r="J164" s="3"/>
      <c r="K164" s="90"/>
    </row>
    <row r="165" ht="12.75" customHeight="1" spans="10:11">
      <c r="J165" s="3"/>
      <c r="K165" s="90"/>
    </row>
    <row r="166" ht="12.75" customHeight="1" spans="10:11">
      <c r="J166" s="3"/>
      <c r="K166" s="90"/>
    </row>
    <row r="167" ht="12.75" customHeight="1" spans="10:11">
      <c r="J167" s="3"/>
      <c r="K167" s="90"/>
    </row>
    <row r="168" ht="12.75" customHeight="1" spans="10:11">
      <c r="J168" s="3"/>
      <c r="K168" s="90"/>
    </row>
    <row r="169" ht="12.75" customHeight="1" spans="10:11">
      <c r="J169" s="3"/>
      <c r="K169" s="90"/>
    </row>
    <row r="170" ht="12.75" customHeight="1" spans="10:11">
      <c r="J170" s="3"/>
      <c r="K170" s="90"/>
    </row>
    <row r="171" ht="12.75" customHeight="1" spans="10:11">
      <c r="J171" s="3"/>
      <c r="K171" s="90"/>
    </row>
    <row r="172" ht="12.75" customHeight="1" spans="10:11">
      <c r="J172" s="3"/>
      <c r="K172" s="90"/>
    </row>
    <row r="173" ht="12.75" customHeight="1" spans="10:11">
      <c r="J173" s="3"/>
      <c r="K173" s="90"/>
    </row>
    <row r="174" ht="12.75" customHeight="1" spans="10:11">
      <c r="J174" s="3"/>
      <c r="K174" s="90"/>
    </row>
    <row r="175" ht="12.75" customHeight="1" spans="10:11">
      <c r="J175" s="3"/>
      <c r="K175" s="90"/>
    </row>
    <row r="176" ht="12.75" customHeight="1" spans="10:11">
      <c r="J176" s="3"/>
      <c r="K176" s="90"/>
    </row>
    <row r="177" ht="12.75" customHeight="1" spans="10:11">
      <c r="J177" s="3"/>
      <c r="K177" s="90"/>
    </row>
    <row r="178" ht="12.75" customHeight="1" spans="10:11">
      <c r="J178" s="3"/>
      <c r="K178" s="90"/>
    </row>
    <row r="179" ht="12.75" customHeight="1" spans="10:11">
      <c r="J179" s="3"/>
      <c r="K179" s="90"/>
    </row>
    <row r="180" ht="12.75" customHeight="1" spans="10:11">
      <c r="J180" s="3"/>
      <c r="K180" s="90"/>
    </row>
    <row r="181" ht="12.75" customHeight="1" spans="10:11">
      <c r="J181" s="3"/>
      <c r="K181" s="90"/>
    </row>
    <row r="182" ht="12.75" customHeight="1" spans="10:11">
      <c r="J182" s="3"/>
      <c r="K182" s="90"/>
    </row>
    <row r="183" ht="12.75" customHeight="1" spans="10:11">
      <c r="J183" s="3"/>
      <c r="K183" s="90"/>
    </row>
    <row r="184" ht="12.75" customHeight="1" spans="10:11">
      <c r="J184" s="3"/>
      <c r="K184" s="90"/>
    </row>
    <row r="185" ht="12.75" customHeight="1" spans="10:11">
      <c r="J185" s="3"/>
      <c r="K185" s="90"/>
    </row>
    <row r="186" ht="12.75" customHeight="1" spans="10:11">
      <c r="J186" s="3"/>
      <c r="K186" s="90"/>
    </row>
    <row r="187" ht="12.75" customHeight="1" spans="10:11">
      <c r="J187" s="3"/>
      <c r="K187" s="90"/>
    </row>
    <row r="188" ht="12.75" customHeight="1" spans="10:11">
      <c r="J188" s="3"/>
      <c r="K188" s="90"/>
    </row>
    <row r="189" ht="12.75" customHeight="1" spans="10:11">
      <c r="J189" s="3"/>
      <c r="K189" s="90"/>
    </row>
    <row r="190" ht="12.75" customHeight="1" spans="10:11">
      <c r="J190" s="3"/>
      <c r="K190" s="90"/>
    </row>
    <row r="191" ht="12.75" customHeight="1" spans="10:11">
      <c r="J191" s="3"/>
      <c r="K191" s="90"/>
    </row>
    <row r="192" ht="12.75" customHeight="1" spans="10:11">
      <c r="J192" s="3"/>
      <c r="K192" s="90"/>
    </row>
    <row r="193" ht="12.75" customHeight="1" spans="10:11">
      <c r="J193" s="3"/>
      <c r="K193" s="90"/>
    </row>
    <row r="194" ht="12.75" customHeight="1" spans="10:11">
      <c r="J194" s="3"/>
      <c r="K194" s="90"/>
    </row>
    <row r="195" ht="12.75" customHeight="1" spans="10:11">
      <c r="J195" s="3"/>
      <c r="K195" s="90"/>
    </row>
    <row r="196" ht="12.75" customHeight="1" spans="10:11">
      <c r="J196" s="3"/>
      <c r="K196" s="90"/>
    </row>
    <row r="197" ht="12.75" customHeight="1" spans="10:11">
      <c r="J197" s="3"/>
      <c r="K197" s="90"/>
    </row>
    <row r="198" ht="12.75" customHeight="1" spans="10:11">
      <c r="J198" s="3"/>
      <c r="K198" s="90"/>
    </row>
    <row r="199" ht="12.75" customHeight="1" spans="10:11">
      <c r="J199" s="3"/>
      <c r="K199" s="90"/>
    </row>
    <row r="200" ht="12.75" customHeight="1" spans="10:11">
      <c r="J200" s="3"/>
      <c r="K200" s="90"/>
    </row>
    <row r="201" ht="12.75" customHeight="1" spans="10:11">
      <c r="J201" s="3"/>
      <c r="K201" s="90"/>
    </row>
    <row r="202" ht="12.75" customHeight="1" spans="10:11">
      <c r="J202" s="3"/>
      <c r="K202" s="90"/>
    </row>
    <row r="203" ht="12.75" customHeight="1" spans="10:11">
      <c r="J203" s="3"/>
      <c r="K203" s="90"/>
    </row>
    <row r="204" ht="12.75" customHeight="1" spans="10:11">
      <c r="J204" s="3"/>
      <c r="K204" s="90"/>
    </row>
    <row r="205" ht="12.75" customHeight="1" spans="10:11">
      <c r="J205" s="3"/>
      <c r="K205" s="90"/>
    </row>
    <row r="206" ht="12.75" customHeight="1" spans="10:11">
      <c r="J206" s="3"/>
      <c r="K206" s="90"/>
    </row>
    <row r="207" ht="12.75" customHeight="1" spans="10:11">
      <c r="J207" s="3"/>
      <c r="K207" s="90"/>
    </row>
    <row r="208" ht="12.75" customHeight="1" spans="10:11">
      <c r="J208" s="3"/>
      <c r="K208" s="90"/>
    </row>
    <row r="209" ht="12.75" customHeight="1" spans="10:11">
      <c r="J209" s="3"/>
      <c r="K209" s="90"/>
    </row>
    <row r="210" ht="12.75" customHeight="1" spans="10:11">
      <c r="J210" s="3"/>
      <c r="K210" s="90"/>
    </row>
    <row r="211" ht="12.75" customHeight="1" spans="10:11">
      <c r="J211" s="3"/>
      <c r="K211" s="90"/>
    </row>
    <row r="212" ht="12.75" customHeight="1" spans="10:11">
      <c r="J212" s="3"/>
      <c r="K212" s="90"/>
    </row>
    <row r="213" ht="12.75" customHeight="1" spans="10:11">
      <c r="J213" s="3"/>
      <c r="K213" s="90"/>
    </row>
    <row r="214" ht="12.75" customHeight="1" spans="10:11">
      <c r="J214" s="3"/>
      <c r="K214" s="90"/>
    </row>
    <row r="215" ht="12.75" customHeight="1" spans="10:11">
      <c r="J215" s="3"/>
      <c r="K215" s="90"/>
    </row>
    <row r="216" ht="12.75" customHeight="1" spans="10:11">
      <c r="J216" s="3"/>
      <c r="K216" s="90"/>
    </row>
    <row r="217" ht="12.75" customHeight="1" spans="10:11">
      <c r="J217" s="3"/>
      <c r="K217" s="90"/>
    </row>
    <row r="218" ht="12.75" customHeight="1" spans="10:11">
      <c r="J218" s="3"/>
      <c r="K218" s="90"/>
    </row>
    <row r="219" ht="12.75" customHeight="1" spans="10:11">
      <c r="J219" s="3"/>
      <c r="K219" s="90"/>
    </row>
    <row r="220" ht="12.75" customHeight="1" spans="10:11">
      <c r="J220" s="3"/>
      <c r="K220" s="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9">
    <mergeCell ref="B3:D3"/>
    <mergeCell ref="I3:K3"/>
    <mergeCell ref="B4:D4"/>
    <mergeCell ref="I4:K4"/>
    <mergeCell ref="B5:D5"/>
    <mergeCell ref="I5:K5"/>
    <mergeCell ref="I6:K6"/>
    <mergeCell ref="I7:K7"/>
    <mergeCell ref="A8:D8"/>
    <mergeCell ref="A11:K11"/>
    <mergeCell ref="A12:K12"/>
    <mergeCell ref="D13:F13"/>
    <mergeCell ref="D14:F14"/>
    <mergeCell ref="D15:F15"/>
    <mergeCell ref="A16:K16"/>
    <mergeCell ref="D17:F17"/>
    <mergeCell ref="D18:F18"/>
    <mergeCell ref="A19:K19"/>
    <mergeCell ref="D20:F20"/>
    <mergeCell ref="D21:F21"/>
    <mergeCell ref="A9:A10"/>
    <mergeCell ref="B9:B10"/>
    <mergeCell ref="C9:C10"/>
    <mergeCell ref="H9:H10"/>
    <mergeCell ref="I9:I10"/>
    <mergeCell ref="J9:J10"/>
    <mergeCell ref="K9:K10"/>
    <mergeCell ref="B1:D2"/>
    <mergeCell ref="D9:G10"/>
  </mergeCells>
  <pageMargins left="0.75" right="0.75" top="1" bottom="1" header="0" footer="0"/>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5"/>
  <sheetViews>
    <sheetView workbookViewId="0">
      <selection activeCell="A1" sqref="A1"/>
    </sheetView>
  </sheetViews>
  <sheetFormatPr defaultColWidth="12.6296296296296" defaultRowHeight="15" customHeight="1"/>
  <cols>
    <col min="1" max="1" width="15.6296296296296" customWidth="1"/>
    <col min="2" max="2" width="18.1296296296296" customWidth="1"/>
    <col min="3" max="3" width="42.1296296296296" customWidth="1"/>
    <col min="4" max="5" width="8.87962962962963" customWidth="1"/>
    <col min="6" max="6" width="23.6296296296296" customWidth="1"/>
    <col min="7" max="7" width="18.5" hidden="1" customWidth="1"/>
    <col min="8" max="8" width="38" customWidth="1"/>
    <col min="9" max="9" width="17.1296296296296" customWidth="1"/>
    <col min="10" max="10" width="9" customWidth="1"/>
    <col min="11" max="11" width="18" customWidth="1"/>
    <col min="12" max="26" width="8.87962962962963" customWidth="1"/>
  </cols>
  <sheetData>
    <row r="1" ht="12.75" customHeight="1" spans="1:26">
      <c r="A1" s="29" t="s">
        <v>0</v>
      </c>
      <c r="B1" s="30"/>
      <c r="C1" s="31"/>
      <c r="D1" s="31"/>
      <c r="E1" s="32"/>
      <c r="F1" s="32"/>
      <c r="G1" s="32"/>
      <c r="H1" s="32"/>
      <c r="I1" s="32"/>
      <c r="J1" s="33"/>
      <c r="K1" s="32"/>
      <c r="L1" s="34"/>
      <c r="M1" s="35"/>
      <c r="N1" s="35"/>
      <c r="O1" s="35"/>
      <c r="P1" s="35"/>
      <c r="Q1" s="35"/>
      <c r="R1" s="35"/>
      <c r="S1" s="35"/>
      <c r="T1" s="35"/>
      <c r="U1" s="35"/>
      <c r="V1" s="35"/>
      <c r="W1" s="35"/>
      <c r="X1" s="35"/>
      <c r="Y1" s="35"/>
      <c r="Z1" s="35"/>
    </row>
    <row r="2" ht="11.25" customHeight="1" spans="1:26">
      <c r="A2" s="34"/>
      <c r="B2" s="36"/>
      <c r="C2" s="36"/>
      <c r="D2" s="36"/>
      <c r="E2" s="32"/>
      <c r="F2" s="32"/>
      <c r="G2" s="32"/>
      <c r="H2" s="32"/>
      <c r="I2" s="32"/>
      <c r="J2" s="33"/>
      <c r="K2" s="32"/>
      <c r="L2" s="34"/>
      <c r="M2" s="35"/>
      <c r="N2" s="35"/>
      <c r="O2" s="35"/>
      <c r="P2" s="35"/>
      <c r="Q2" s="35"/>
      <c r="R2" s="35"/>
      <c r="S2" s="35"/>
      <c r="T2" s="35"/>
      <c r="U2" s="35"/>
      <c r="V2" s="35"/>
      <c r="W2" s="35"/>
      <c r="X2" s="35"/>
      <c r="Y2" s="35"/>
      <c r="Z2" s="35"/>
    </row>
    <row r="3" ht="13.2" spans="1:26">
      <c r="A3" s="37" t="s">
        <v>20</v>
      </c>
      <c r="B3" s="38" t="s">
        <v>4</v>
      </c>
      <c r="C3" s="39"/>
      <c r="D3" s="40"/>
      <c r="E3" s="41"/>
      <c r="F3" s="41"/>
      <c r="G3" s="41"/>
      <c r="H3" s="41"/>
      <c r="I3" s="42"/>
      <c r="J3" s="31"/>
      <c r="K3" s="31"/>
      <c r="L3" s="43"/>
      <c r="M3" s="44"/>
      <c r="N3" s="44"/>
      <c r="O3" s="44"/>
      <c r="P3" s="44"/>
      <c r="Q3" s="44"/>
      <c r="R3" s="44"/>
      <c r="S3" s="44"/>
      <c r="T3" s="44"/>
      <c r="U3" s="44"/>
      <c r="V3" s="44"/>
      <c r="W3" s="44"/>
      <c r="X3" s="44"/>
      <c r="Y3" s="44"/>
      <c r="Z3" s="44"/>
    </row>
    <row r="4" ht="12.75" customHeight="1" spans="1:26">
      <c r="A4" s="45" t="s">
        <v>21</v>
      </c>
      <c r="B4" s="46" t="s">
        <v>141</v>
      </c>
      <c r="C4" s="47"/>
      <c r="D4" s="48"/>
      <c r="E4" s="41"/>
      <c r="F4" s="41"/>
      <c r="G4" s="41"/>
      <c r="H4" s="41"/>
      <c r="I4" s="42"/>
      <c r="J4" s="31"/>
      <c r="K4" s="31"/>
      <c r="L4" s="43"/>
      <c r="M4" s="44"/>
      <c r="N4" s="44"/>
      <c r="O4" s="44"/>
      <c r="P4" s="44"/>
      <c r="Q4" s="44"/>
      <c r="R4" s="44"/>
      <c r="S4" s="44"/>
      <c r="T4" s="44"/>
      <c r="U4" s="44"/>
      <c r="V4" s="44"/>
      <c r="W4" s="44"/>
      <c r="X4" s="44"/>
      <c r="Y4" s="44"/>
      <c r="Z4" s="44"/>
    </row>
    <row r="5" ht="12.75" customHeight="1" spans="1:26">
      <c r="A5" s="45" t="s">
        <v>23</v>
      </c>
      <c r="B5" s="49" t="s">
        <v>24</v>
      </c>
      <c r="C5" s="47"/>
      <c r="D5" s="48"/>
      <c r="E5" s="50"/>
      <c r="F5" s="50"/>
      <c r="G5" s="50"/>
      <c r="H5" s="50"/>
      <c r="I5" s="51"/>
      <c r="J5" s="31"/>
      <c r="K5" s="31"/>
      <c r="L5" s="52"/>
      <c r="M5" s="53"/>
      <c r="N5" s="53"/>
      <c r="O5" s="53"/>
      <c r="P5" s="53"/>
      <c r="Q5" s="53"/>
      <c r="R5" s="53"/>
      <c r="S5" s="53"/>
      <c r="T5" s="53"/>
      <c r="U5" s="53"/>
      <c r="V5" s="53"/>
      <c r="W5" s="53"/>
      <c r="X5" s="53"/>
      <c r="Y5" s="53"/>
      <c r="Z5" s="53"/>
    </row>
    <row r="6" ht="13.2" spans="1:26">
      <c r="A6" s="54" t="s">
        <v>25</v>
      </c>
      <c r="B6" s="55">
        <f>COUNTIF(J12:J17,"Pass")</f>
        <v>0</v>
      </c>
      <c r="C6" s="56" t="s">
        <v>26</v>
      </c>
      <c r="D6" s="57">
        <f>COUNTIF(J10:J731,"Pending")</f>
        <v>5</v>
      </c>
      <c r="E6" s="42"/>
      <c r="F6" s="42"/>
      <c r="G6" s="42"/>
      <c r="H6" s="42"/>
      <c r="I6" s="42"/>
      <c r="J6" s="31"/>
      <c r="K6" s="31"/>
      <c r="L6" s="43"/>
      <c r="M6" s="44"/>
      <c r="N6" s="44"/>
      <c r="O6" s="44"/>
      <c r="P6" s="44"/>
      <c r="Q6" s="44"/>
      <c r="R6" s="44"/>
      <c r="S6" s="44"/>
      <c r="T6" s="44"/>
      <c r="U6" s="44"/>
      <c r="V6" s="44"/>
      <c r="W6" s="44"/>
      <c r="X6" s="44"/>
      <c r="Y6" s="44"/>
      <c r="Z6" s="44"/>
    </row>
    <row r="7" ht="13.95" spans="1:26">
      <c r="A7" s="58" t="s">
        <v>27</v>
      </c>
      <c r="B7" s="59">
        <f>COUNTIF(J12:J17,"Fail")</f>
        <v>0</v>
      </c>
      <c r="C7" s="60" t="s">
        <v>28</v>
      </c>
      <c r="D7" s="61">
        <f>COUNTA(A12:A100)-3</f>
        <v>5</v>
      </c>
      <c r="E7" s="62"/>
      <c r="F7" s="62"/>
      <c r="G7" s="62"/>
      <c r="H7" s="62"/>
      <c r="I7" s="42"/>
      <c r="J7" s="31"/>
      <c r="K7" s="31"/>
      <c r="L7" s="43"/>
      <c r="M7" s="44"/>
      <c r="N7" s="44"/>
      <c r="O7" s="44"/>
      <c r="P7" s="44"/>
      <c r="Q7" s="44"/>
      <c r="R7" s="44"/>
      <c r="S7" s="44"/>
      <c r="T7" s="44"/>
      <c r="U7" s="44"/>
      <c r="V7" s="44"/>
      <c r="W7" s="44"/>
      <c r="X7" s="44"/>
      <c r="Y7" s="44"/>
      <c r="Z7" s="44"/>
    </row>
    <row r="8" ht="13.2" spans="1:26">
      <c r="A8" s="63"/>
      <c r="B8" s="39"/>
      <c r="C8" s="39"/>
      <c r="D8" s="39"/>
      <c r="E8" s="42"/>
      <c r="F8" s="42"/>
      <c r="G8" s="42"/>
      <c r="H8" s="42"/>
      <c r="I8" s="42"/>
      <c r="J8" s="64"/>
      <c r="K8" s="64"/>
      <c r="L8" s="43"/>
      <c r="M8" s="44"/>
      <c r="N8" s="44"/>
      <c r="O8" s="44"/>
      <c r="P8" s="44"/>
      <c r="Q8" s="44"/>
      <c r="R8" s="44"/>
      <c r="S8" s="44"/>
      <c r="T8" s="44"/>
      <c r="U8" s="44"/>
      <c r="V8" s="44"/>
      <c r="W8" s="44"/>
      <c r="X8" s="44"/>
      <c r="Y8" s="44"/>
      <c r="Z8" s="44"/>
    </row>
    <row r="9" ht="12" customHeight="1" spans="1:26">
      <c r="A9" s="65" t="s">
        <v>29</v>
      </c>
      <c r="B9" s="66" t="s">
        <v>30</v>
      </c>
      <c r="C9" s="65" t="s">
        <v>31</v>
      </c>
      <c r="D9" s="67" t="s">
        <v>32</v>
      </c>
      <c r="E9" s="31"/>
      <c r="F9" s="31"/>
      <c r="G9" s="68"/>
      <c r="H9" s="65" t="s">
        <v>33</v>
      </c>
      <c r="I9" s="69" t="s">
        <v>34</v>
      </c>
      <c r="J9" s="69" t="s">
        <v>35</v>
      </c>
      <c r="K9" s="69" t="s">
        <v>36</v>
      </c>
      <c r="L9" s="70"/>
      <c r="M9" s="71"/>
      <c r="N9" s="71"/>
      <c r="O9" s="71"/>
      <c r="P9" s="71"/>
      <c r="Q9" s="71"/>
      <c r="R9" s="71"/>
      <c r="S9" s="71"/>
      <c r="T9" s="71"/>
      <c r="U9" s="71"/>
      <c r="V9" s="71"/>
      <c r="W9" s="71"/>
      <c r="X9" s="71"/>
      <c r="Y9" s="71"/>
      <c r="Z9" s="71"/>
    </row>
    <row r="10" ht="15.75" customHeight="1" spans="1:26">
      <c r="A10" s="72"/>
      <c r="B10" s="72"/>
      <c r="C10" s="72"/>
      <c r="D10" s="73"/>
      <c r="E10" s="74"/>
      <c r="F10" s="74"/>
      <c r="G10" s="75"/>
      <c r="H10" s="72"/>
      <c r="I10" s="72"/>
      <c r="J10" s="72"/>
      <c r="K10" s="72"/>
      <c r="L10" s="43"/>
      <c r="M10" s="44"/>
      <c r="N10" s="44"/>
      <c r="O10" s="44"/>
      <c r="P10" s="44"/>
      <c r="Q10" s="44"/>
      <c r="R10" s="44"/>
      <c r="S10" s="44"/>
      <c r="T10" s="44"/>
      <c r="U10" s="44"/>
      <c r="V10" s="44"/>
      <c r="W10" s="44"/>
      <c r="X10" s="44"/>
      <c r="Y10" s="44"/>
      <c r="Z10" s="44"/>
    </row>
    <row r="11" ht="12.75" customHeight="1" spans="1:26">
      <c r="A11" s="76"/>
      <c r="B11" s="47"/>
      <c r="C11" s="47"/>
      <c r="D11" s="47"/>
      <c r="E11" s="47"/>
      <c r="F11" s="47"/>
      <c r="G11" s="47"/>
      <c r="H11" s="47"/>
      <c r="I11" s="47"/>
      <c r="J11" s="47"/>
      <c r="K11" s="77"/>
      <c r="L11" s="78"/>
      <c r="M11" s="78"/>
      <c r="N11" s="78"/>
      <c r="O11" s="78"/>
      <c r="P11" s="78"/>
      <c r="Q11" s="78"/>
      <c r="R11" s="78"/>
      <c r="S11" s="78"/>
      <c r="T11" s="78"/>
      <c r="U11" s="78"/>
      <c r="V11" s="78"/>
      <c r="W11" s="78"/>
      <c r="X11" s="78"/>
      <c r="Y11" s="78"/>
      <c r="Z11" s="78"/>
    </row>
    <row r="12" ht="15.75" customHeight="1" spans="1:26">
      <c r="A12" s="79" t="s">
        <v>142</v>
      </c>
      <c r="B12" s="47"/>
      <c r="C12" s="47"/>
      <c r="D12" s="47"/>
      <c r="E12" s="47"/>
      <c r="F12" s="47"/>
      <c r="G12" s="47"/>
      <c r="H12" s="47"/>
      <c r="I12" s="47"/>
      <c r="J12" s="47"/>
      <c r="K12" s="77"/>
      <c r="L12" s="80"/>
      <c r="M12" s="80"/>
      <c r="N12" s="80"/>
      <c r="O12" s="80"/>
      <c r="P12" s="80"/>
      <c r="Q12" s="80"/>
      <c r="R12" s="80"/>
      <c r="S12" s="80"/>
      <c r="T12" s="80"/>
      <c r="U12" s="80"/>
      <c r="V12" s="80"/>
      <c r="W12" s="80"/>
      <c r="X12" s="80"/>
      <c r="Y12" s="80"/>
      <c r="Z12" s="80"/>
    </row>
    <row r="13" ht="55.5" customHeight="1" outlineLevel="1" spans="1:26">
      <c r="A13" s="81" t="s">
        <v>38</v>
      </c>
      <c r="B13" s="82" t="s">
        <v>143</v>
      </c>
      <c r="C13" s="83" t="s">
        <v>144</v>
      </c>
      <c r="D13" s="84" t="s">
        <v>145</v>
      </c>
      <c r="E13" s="47"/>
      <c r="F13" s="47"/>
      <c r="G13" s="85"/>
      <c r="H13" s="86"/>
      <c r="I13" s="87"/>
      <c r="J13" s="83" t="s">
        <v>26</v>
      </c>
      <c r="K13" s="83"/>
      <c r="L13" s="80"/>
      <c r="M13" s="80"/>
      <c r="N13" s="80"/>
      <c r="O13" s="80"/>
      <c r="P13" s="80"/>
      <c r="Q13" s="80"/>
      <c r="R13" s="80"/>
      <c r="S13" s="80"/>
      <c r="T13" s="80"/>
      <c r="U13" s="80"/>
      <c r="V13" s="80"/>
      <c r="W13" s="80"/>
      <c r="X13" s="80"/>
      <c r="Y13" s="80"/>
      <c r="Z13" s="80"/>
    </row>
    <row r="14" ht="57" customHeight="1" outlineLevel="1" spans="1:26">
      <c r="A14" s="81" t="s">
        <v>43</v>
      </c>
      <c r="B14" s="82" t="s">
        <v>146</v>
      </c>
      <c r="C14" s="83" t="s">
        <v>147</v>
      </c>
      <c r="D14" s="84" t="s">
        <v>148</v>
      </c>
      <c r="E14" s="47"/>
      <c r="F14" s="47"/>
      <c r="G14" s="85"/>
      <c r="H14" s="86"/>
      <c r="I14" s="87"/>
      <c r="J14" s="83" t="s">
        <v>26</v>
      </c>
      <c r="K14" s="83"/>
      <c r="L14" s="80"/>
      <c r="M14" s="80"/>
      <c r="N14" s="80"/>
      <c r="O14" s="80"/>
      <c r="P14" s="80"/>
      <c r="Q14" s="80"/>
      <c r="R14" s="80"/>
      <c r="S14" s="80"/>
      <c r="T14" s="80"/>
      <c r="U14" s="80"/>
      <c r="V14" s="80"/>
      <c r="W14" s="80"/>
      <c r="X14" s="80"/>
      <c r="Y14" s="80"/>
      <c r="Z14" s="80"/>
    </row>
    <row r="15" ht="52.5" customHeight="1" outlineLevel="1" spans="1:26">
      <c r="A15" s="81" t="s">
        <v>48</v>
      </c>
      <c r="B15" s="88" t="s">
        <v>149</v>
      </c>
      <c r="C15" s="83" t="s">
        <v>150</v>
      </c>
      <c r="D15" s="84" t="s">
        <v>148</v>
      </c>
      <c r="E15" s="47"/>
      <c r="F15" s="47"/>
      <c r="G15" s="85"/>
      <c r="H15" s="86"/>
      <c r="I15" s="87"/>
      <c r="J15" s="83" t="s">
        <v>26</v>
      </c>
      <c r="K15" s="83"/>
      <c r="L15" s="80"/>
      <c r="M15" s="80"/>
      <c r="N15" s="80"/>
      <c r="O15" s="80"/>
      <c r="P15" s="80"/>
      <c r="Q15" s="80"/>
      <c r="R15" s="80"/>
      <c r="S15" s="80"/>
      <c r="T15" s="80"/>
      <c r="U15" s="80"/>
      <c r="V15" s="80"/>
      <c r="W15" s="80"/>
      <c r="X15" s="80"/>
      <c r="Y15" s="80"/>
      <c r="Z15" s="80"/>
    </row>
    <row r="16" ht="15.75" customHeight="1" spans="1:26">
      <c r="A16" s="79" t="s">
        <v>127</v>
      </c>
      <c r="B16" s="47"/>
      <c r="C16" s="47"/>
      <c r="D16" s="47"/>
      <c r="E16" s="47"/>
      <c r="F16" s="47"/>
      <c r="G16" s="47"/>
      <c r="H16" s="47"/>
      <c r="I16" s="47"/>
      <c r="J16" s="47"/>
      <c r="K16" s="77"/>
      <c r="L16" s="80"/>
      <c r="M16" s="80"/>
      <c r="N16" s="80"/>
      <c r="O16" s="80"/>
      <c r="P16" s="80"/>
      <c r="Q16" s="80"/>
      <c r="R16" s="80"/>
      <c r="S16" s="80"/>
      <c r="T16" s="80"/>
      <c r="U16" s="80"/>
      <c r="V16" s="80"/>
      <c r="W16" s="80"/>
      <c r="X16" s="80"/>
      <c r="Y16" s="80"/>
      <c r="Z16" s="80"/>
    </row>
    <row r="17" ht="54.75" customHeight="1" outlineLevel="1" spans="1:26">
      <c r="A17" s="81" t="s">
        <v>63</v>
      </c>
      <c r="B17" s="89" t="s">
        <v>151</v>
      </c>
      <c r="C17" s="83" t="s">
        <v>152</v>
      </c>
      <c r="D17" s="84" t="s">
        <v>153</v>
      </c>
      <c r="E17" s="47"/>
      <c r="F17" s="47"/>
      <c r="G17" s="85"/>
      <c r="H17" s="86"/>
      <c r="I17" s="84"/>
      <c r="J17" s="83" t="s">
        <v>26</v>
      </c>
      <c r="K17" s="83"/>
      <c r="L17" s="80"/>
      <c r="M17" s="80"/>
      <c r="N17" s="80"/>
      <c r="O17" s="80"/>
      <c r="P17" s="80"/>
      <c r="Q17" s="80"/>
      <c r="R17" s="80"/>
      <c r="S17" s="80"/>
      <c r="T17" s="80"/>
      <c r="U17" s="80"/>
      <c r="V17" s="80"/>
      <c r="W17" s="80"/>
      <c r="X17" s="80"/>
      <c r="Y17" s="80"/>
      <c r="Z17" s="80"/>
    </row>
    <row r="18" ht="15.75" customHeight="1" spans="1:26">
      <c r="A18" s="79" t="s">
        <v>134</v>
      </c>
      <c r="B18" s="47"/>
      <c r="C18" s="47"/>
      <c r="D18" s="47"/>
      <c r="E18" s="47"/>
      <c r="F18" s="47"/>
      <c r="G18" s="47"/>
      <c r="H18" s="47"/>
      <c r="I18" s="47"/>
      <c r="J18" s="47"/>
      <c r="K18" s="77"/>
      <c r="L18" s="80"/>
      <c r="M18" s="80"/>
      <c r="N18" s="80"/>
      <c r="O18" s="80"/>
      <c r="P18" s="80"/>
      <c r="Q18" s="80"/>
      <c r="R18" s="80"/>
      <c r="S18" s="80"/>
      <c r="T18" s="80"/>
      <c r="U18" s="80"/>
      <c r="V18" s="80"/>
      <c r="W18" s="80"/>
      <c r="X18" s="80"/>
      <c r="Y18" s="80"/>
      <c r="Z18" s="80"/>
    </row>
    <row r="19" ht="87" customHeight="1" outlineLevel="1" spans="1:26">
      <c r="A19" s="81" t="s">
        <v>67</v>
      </c>
      <c r="B19" s="83" t="s">
        <v>154</v>
      </c>
      <c r="C19" s="83" t="s">
        <v>155</v>
      </c>
      <c r="D19" s="84" t="s">
        <v>156</v>
      </c>
      <c r="E19" s="47"/>
      <c r="F19" s="47"/>
      <c r="G19" s="85"/>
      <c r="H19" s="86"/>
      <c r="I19" s="84"/>
      <c r="J19" s="83" t="s">
        <v>26</v>
      </c>
      <c r="K19" s="83"/>
      <c r="L19" s="80"/>
      <c r="M19" s="80"/>
      <c r="N19" s="80"/>
      <c r="O19" s="80"/>
      <c r="P19" s="80"/>
      <c r="Q19" s="80"/>
      <c r="R19" s="80"/>
      <c r="S19" s="80"/>
      <c r="T19" s="80"/>
      <c r="U19" s="80"/>
      <c r="V19" s="80"/>
      <c r="W19" s="80"/>
      <c r="X19" s="80"/>
      <c r="Y19" s="80"/>
      <c r="Z19" s="80"/>
    </row>
    <row r="20" ht="12" customHeight="1" spans="1:26">
      <c r="J20" s="3"/>
      <c r="K20" s="90"/>
    </row>
    <row r="21" ht="12" customHeight="1" spans="1:26">
      <c r="J21" s="3"/>
      <c r="K21" s="90"/>
    </row>
    <row r="22" ht="12" customHeight="1" spans="1:26">
      <c r="J22" s="3"/>
      <c r="K22" s="90"/>
    </row>
    <row r="23" ht="12" customHeight="1" spans="1:26">
      <c r="J23" s="3"/>
      <c r="K23" s="90"/>
    </row>
    <row r="24" ht="12" customHeight="1" spans="1:26">
      <c r="J24" s="3"/>
      <c r="K24" s="90"/>
    </row>
    <row r="25" ht="12" customHeight="1" spans="1:26">
      <c r="J25" s="3"/>
      <c r="K25" s="90"/>
    </row>
    <row r="26" ht="12" customHeight="1" spans="1:26">
      <c r="J26" s="3"/>
      <c r="K26" s="90"/>
    </row>
    <row r="27" ht="12" customHeight="1" spans="1:26">
      <c r="J27" s="3"/>
      <c r="K27" s="90"/>
    </row>
    <row r="28" ht="12" customHeight="1" spans="1:26">
      <c r="J28" s="3"/>
      <c r="K28" s="90"/>
    </row>
    <row r="29" ht="12" customHeight="1" spans="1:26">
      <c r="J29" s="3"/>
      <c r="K29" s="90"/>
    </row>
    <row r="30" ht="12" customHeight="1" spans="1:26">
      <c r="J30" s="3"/>
      <c r="K30" s="90"/>
    </row>
    <row r="31" ht="12" customHeight="1" spans="1:26">
      <c r="J31" s="3"/>
      <c r="K31" s="90"/>
    </row>
    <row r="32" ht="12" customHeight="1" spans="1:26">
      <c r="J32" s="3"/>
      <c r="K32" s="90"/>
    </row>
    <row r="33" ht="12" customHeight="1" spans="10:11">
      <c r="J33" s="3"/>
      <c r="K33" s="90"/>
    </row>
    <row r="34" ht="12" customHeight="1" spans="10:11">
      <c r="J34" s="3"/>
      <c r="K34" s="90"/>
    </row>
    <row r="35" ht="12" customHeight="1" spans="10:11">
      <c r="J35" s="3"/>
      <c r="K35" s="90"/>
    </row>
    <row r="36" ht="12" customHeight="1" spans="10:11">
      <c r="J36" s="3"/>
      <c r="K36" s="90"/>
    </row>
    <row r="37" ht="12" customHeight="1" spans="10:11">
      <c r="J37" s="3"/>
      <c r="K37" s="90"/>
    </row>
    <row r="38" ht="12" customHeight="1" spans="10:11">
      <c r="J38" s="3"/>
      <c r="K38" s="90"/>
    </row>
    <row r="39" ht="12" customHeight="1" spans="10:11">
      <c r="J39" s="3"/>
      <c r="K39" s="90"/>
    </row>
    <row r="40" ht="12" customHeight="1" spans="10:11">
      <c r="J40" s="3"/>
      <c r="K40" s="90"/>
    </row>
    <row r="41" ht="12" customHeight="1" spans="10:11">
      <c r="J41" s="3"/>
      <c r="K41" s="90"/>
    </row>
    <row r="42" ht="12" customHeight="1" spans="10:11">
      <c r="J42" s="3"/>
      <c r="K42" s="90"/>
    </row>
    <row r="43" ht="12" customHeight="1" spans="10:11">
      <c r="J43" s="3"/>
      <c r="K43" s="90"/>
    </row>
    <row r="44" ht="12" customHeight="1" spans="10:11">
      <c r="J44" s="3"/>
      <c r="K44" s="90"/>
    </row>
    <row r="45" ht="12" customHeight="1" spans="10:11">
      <c r="J45" s="3"/>
      <c r="K45" s="90"/>
    </row>
    <row r="46" ht="12" customHeight="1" spans="10:11">
      <c r="J46" s="3"/>
      <c r="K46" s="90"/>
    </row>
    <row r="47" ht="12" customHeight="1" spans="10:11">
      <c r="J47" s="3"/>
      <c r="K47" s="90"/>
    </row>
    <row r="48" ht="12" customHeight="1" spans="10:11">
      <c r="J48" s="3"/>
      <c r="K48" s="90"/>
    </row>
    <row r="49" ht="12" customHeight="1" spans="10:11">
      <c r="J49" s="3"/>
      <c r="K49" s="90"/>
    </row>
    <row r="50" ht="12" customHeight="1" spans="10:11">
      <c r="J50" s="3"/>
      <c r="K50" s="90"/>
    </row>
    <row r="51" ht="12.75" customHeight="1" spans="10:11">
      <c r="J51" s="3"/>
      <c r="K51" s="90"/>
    </row>
    <row r="52" ht="12.75" customHeight="1" spans="10:11">
      <c r="J52" s="3"/>
      <c r="K52" s="90"/>
    </row>
    <row r="53" ht="12.75" customHeight="1" spans="10:11">
      <c r="J53" s="3"/>
      <c r="K53" s="90"/>
    </row>
    <row r="54" ht="12.75" customHeight="1" spans="10:11">
      <c r="J54" s="3"/>
      <c r="K54" s="90"/>
    </row>
    <row r="55" ht="12.75" customHeight="1" spans="10:11">
      <c r="J55" s="3"/>
      <c r="K55" s="90"/>
    </row>
    <row r="56" ht="12.75" customHeight="1" spans="10:11">
      <c r="J56" s="3"/>
      <c r="K56" s="90"/>
    </row>
    <row r="57" ht="12.75" customHeight="1" spans="10:11">
      <c r="J57" s="3"/>
      <c r="K57" s="90"/>
    </row>
    <row r="58" ht="12.75" customHeight="1" spans="10:11">
      <c r="J58" s="3"/>
      <c r="K58" s="90"/>
    </row>
    <row r="59" ht="12.75" customHeight="1" spans="10:11">
      <c r="J59" s="3"/>
      <c r="K59" s="90"/>
    </row>
    <row r="60" ht="12.75" customHeight="1" spans="10:11">
      <c r="J60" s="3"/>
      <c r="K60" s="90"/>
    </row>
    <row r="61" ht="12.75" customHeight="1" spans="10:11">
      <c r="J61" s="3"/>
      <c r="K61" s="90"/>
    </row>
    <row r="62" ht="12.75" customHeight="1" spans="10:11">
      <c r="J62" s="3"/>
      <c r="K62" s="90"/>
    </row>
    <row r="63" ht="12.75" customHeight="1" spans="10:11">
      <c r="J63" s="3"/>
      <c r="K63" s="90"/>
    </row>
    <row r="64" ht="12.75" customHeight="1" spans="10:11">
      <c r="J64" s="3"/>
      <c r="K64" s="90"/>
    </row>
    <row r="65" ht="12.75" customHeight="1" spans="10:11">
      <c r="J65" s="3"/>
      <c r="K65" s="90"/>
    </row>
    <row r="66" ht="12.75" customHeight="1" spans="10:11">
      <c r="J66" s="3"/>
      <c r="K66" s="90"/>
    </row>
    <row r="67" ht="12.75" customHeight="1" spans="10:11">
      <c r="J67" s="3"/>
      <c r="K67" s="90"/>
    </row>
    <row r="68" ht="12.75" customHeight="1" spans="10:11">
      <c r="J68" s="3"/>
      <c r="K68" s="90"/>
    </row>
    <row r="69" ht="12.75" customHeight="1" spans="10:11">
      <c r="J69" s="3"/>
      <c r="K69" s="90"/>
    </row>
    <row r="70" ht="12.75" customHeight="1" spans="10:11">
      <c r="J70" s="3"/>
      <c r="K70" s="90"/>
    </row>
    <row r="71" ht="12.75" customHeight="1" spans="10:11">
      <c r="J71" s="3"/>
      <c r="K71" s="90"/>
    </row>
    <row r="72" ht="12.75" customHeight="1" spans="10:11">
      <c r="J72" s="3"/>
      <c r="K72" s="90"/>
    </row>
    <row r="73" ht="12.75" customHeight="1" spans="10:11">
      <c r="J73" s="3"/>
      <c r="K73" s="90"/>
    </row>
    <row r="74" ht="12.75" customHeight="1" spans="10:11">
      <c r="J74" s="3"/>
      <c r="K74" s="90"/>
    </row>
    <row r="75" ht="12.75" customHeight="1" spans="10:11">
      <c r="J75" s="3"/>
      <c r="K75" s="90"/>
    </row>
    <row r="76" ht="12.75" customHeight="1" spans="10:11">
      <c r="J76" s="3"/>
      <c r="K76" s="90"/>
    </row>
    <row r="77" ht="12.75" customHeight="1" spans="10:11">
      <c r="J77" s="3"/>
      <c r="K77" s="90"/>
    </row>
    <row r="78" ht="12.75" customHeight="1" spans="10:11">
      <c r="J78" s="3"/>
      <c r="K78" s="90"/>
    </row>
    <row r="79" ht="12.75" customHeight="1" spans="10:11">
      <c r="J79" s="3"/>
      <c r="K79" s="90"/>
    </row>
    <row r="80" ht="12.75" customHeight="1" spans="10:11">
      <c r="J80" s="3"/>
      <c r="K80" s="90"/>
    </row>
    <row r="81" ht="12.75" customHeight="1" spans="10:11">
      <c r="J81" s="3"/>
      <c r="K81" s="90"/>
    </row>
    <row r="82" ht="12.75" customHeight="1" spans="10:11">
      <c r="J82" s="3"/>
      <c r="K82" s="90"/>
    </row>
    <row r="83" ht="12.75" customHeight="1" spans="10:11">
      <c r="J83" s="3"/>
      <c r="K83" s="90"/>
    </row>
    <row r="84" ht="12.75" customHeight="1" spans="10:11">
      <c r="J84" s="3"/>
      <c r="K84" s="90"/>
    </row>
    <row r="85" ht="12.75" customHeight="1" spans="10:11">
      <c r="J85" s="3"/>
      <c r="K85" s="90"/>
    </row>
    <row r="86" ht="12.75" customHeight="1" spans="10:11">
      <c r="J86" s="3"/>
      <c r="K86" s="90"/>
    </row>
    <row r="87" ht="12.75" customHeight="1" spans="10:11">
      <c r="J87" s="3"/>
      <c r="K87" s="90"/>
    </row>
    <row r="88" ht="12.75" customHeight="1" spans="10:11">
      <c r="J88" s="3"/>
      <c r="K88" s="90"/>
    </row>
    <row r="89" ht="12.75" customHeight="1" spans="10:11">
      <c r="J89" s="3"/>
      <c r="K89" s="90"/>
    </row>
    <row r="90" ht="12.75" customHeight="1" spans="10:11">
      <c r="J90" s="3"/>
      <c r="K90" s="90"/>
    </row>
    <row r="91" ht="12.75" customHeight="1" spans="10:11">
      <c r="J91" s="3"/>
      <c r="K91" s="90"/>
    </row>
    <row r="92" ht="12.75" customHeight="1" spans="10:11">
      <c r="J92" s="3"/>
      <c r="K92" s="90"/>
    </row>
    <row r="93" ht="12.75" customHeight="1" spans="10:11">
      <c r="J93" s="3"/>
      <c r="K93" s="90"/>
    </row>
    <row r="94" ht="12.75" customHeight="1" spans="10:11">
      <c r="J94" s="3"/>
      <c r="K94" s="90"/>
    </row>
    <row r="95" ht="12.75" customHeight="1" spans="10:11">
      <c r="J95" s="3"/>
      <c r="K95" s="90"/>
    </row>
    <row r="96" ht="12.75" customHeight="1" spans="10:11">
      <c r="J96" s="3"/>
      <c r="K96" s="90"/>
    </row>
    <row r="97" ht="12.75" customHeight="1" spans="10:11">
      <c r="J97" s="3"/>
      <c r="K97" s="90"/>
    </row>
    <row r="98" ht="12.75" customHeight="1" spans="10:11">
      <c r="J98" s="3"/>
      <c r="K98" s="90"/>
    </row>
    <row r="99" ht="12.75" customHeight="1" spans="10:11">
      <c r="J99" s="3"/>
      <c r="K99" s="90"/>
    </row>
    <row r="100" ht="12.75" customHeight="1" spans="10:11">
      <c r="J100" s="3"/>
      <c r="K100" s="90"/>
    </row>
    <row r="101" ht="12.75" customHeight="1" spans="10:11">
      <c r="J101" s="3"/>
      <c r="K101" s="90"/>
    </row>
    <row r="102" ht="12.75" customHeight="1" spans="10:11">
      <c r="J102" s="3"/>
      <c r="K102" s="90"/>
    </row>
    <row r="103" ht="12.75" customHeight="1" spans="10:11">
      <c r="J103" s="3"/>
      <c r="K103" s="90"/>
    </row>
    <row r="104" ht="12.75" customHeight="1" spans="10:11">
      <c r="J104" s="3"/>
      <c r="K104" s="90"/>
    </row>
    <row r="105" ht="12.75" customHeight="1" spans="10:11">
      <c r="J105" s="3"/>
      <c r="K105" s="90"/>
    </row>
    <row r="106" ht="12.75" customHeight="1" spans="10:11">
      <c r="J106" s="3"/>
      <c r="K106" s="90"/>
    </row>
    <row r="107" ht="12.75" customHeight="1" spans="10:11">
      <c r="J107" s="3"/>
      <c r="K107" s="90"/>
    </row>
    <row r="108" ht="12.75" customHeight="1" spans="10:11">
      <c r="J108" s="3"/>
      <c r="K108" s="90"/>
    </row>
    <row r="109" ht="12.75" customHeight="1" spans="10:11">
      <c r="J109" s="3"/>
      <c r="K109" s="90"/>
    </row>
    <row r="110" ht="12.75" customHeight="1" spans="10:11">
      <c r="J110" s="3"/>
      <c r="K110" s="90"/>
    </row>
    <row r="111" ht="12.75" customHeight="1" spans="10:11">
      <c r="J111" s="3"/>
      <c r="K111" s="90"/>
    </row>
    <row r="112" ht="12.75" customHeight="1" spans="10:11">
      <c r="J112" s="3"/>
      <c r="K112" s="90"/>
    </row>
    <row r="113" ht="12.75" customHeight="1" spans="10:11">
      <c r="J113" s="3"/>
      <c r="K113" s="90"/>
    </row>
    <row r="114" ht="12.75" customHeight="1" spans="10:11">
      <c r="J114" s="3"/>
      <c r="K114" s="90"/>
    </row>
    <row r="115" ht="12.75" customHeight="1" spans="10:11">
      <c r="J115" s="3"/>
      <c r="K115" s="90"/>
    </row>
    <row r="116" ht="12.75" customHeight="1" spans="10:11">
      <c r="J116" s="3"/>
      <c r="K116" s="90"/>
    </row>
    <row r="117" ht="12.75" customHeight="1" spans="10:11">
      <c r="J117" s="3"/>
      <c r="K117" s="90"/>
    </row>
    <row r="118" ht="12.75" customHeight="1" spans="10:11">
      <c r="J118" s="3"/>
      <c r="K118" s="90"/>
    </row>
    <row r="119" ht="12.75" customHeight="1" spans="10:11">
      <c r="J119" s="3"/>
      <c r="K119" s="90"/>
    </row>
    <row r="120" ht="12.75" customHeight="1" spans="10:11">
      <c r="J120" s="3"/>
      <c r="K120" s="90"/>
    </row>
    <row r="121" ht="12.75" customHeight="1" spans="10:11">
      <c r="J121" s="3"/>
      <c r="K121" s="90"/>
    </row>
    <row r="122" ht="12.75" customHeight="1" spans="10:11">
      <c r="J122" s="3"/>
      <c r="K122" s="90"/>
    </row>
    <row r="123" ht="12.75" customHeight="1" spans="10:11">
      <c r="J123" s="3"/>
      <c r="K123" s="90"/>
    </row>
    <row r="124" ht="12.75" customHeight="1" spans="10:11">
      <c r="J124" s="3"/>
      <c r="K124" s="90"/>
    </row>
    <row r="125" ht="12.75" customHeight="1" spans="10:11">
      <c r="J125" s="3"/>
      <c r="K125" s="90"/>
    </row>
    <row r="126" ht="12.75" customHeight="1" spans="10:11">
      <c r="J126" s="3"/>
      <c r="K126" s="90"/>
    </row>
    <row r="127" ht="12.75" customHeight="1" spans="10:11">
      <c r="J127" s="3"/>
      <c r="K127" s="90"/>
    </row>
    <row r="128" ht="12.75" customHeight="1" spans="10:11">
      <c r="J128" s="3"/>
      <c r="K128" s="90"/>
    </row>
    <row r="129" ht="12.75" customHeight="1" spans="10:11">
      <c r="J129" s="3"/>
      <c r="K129" s="90"/>
    </row>
    <row r="130" ht="12.75" customHeight="1" spans="10:11">
      <c r="J130" s="3"/>
      <c r="K130" s="90"/>
    </row>
    <row r="131" ht="12.75" customHeight="1" spans="10:11">
      <c r="J131" s="3"/>
      <c r="K131" s="90"/>
    </row>
    <row r="132" ht="12.75" customHeight="1" spans="10:11">
      <c r="J132" s="3"/>
      <c r="K132" s="90"/>
    </row>
    <row r="133" ht="12.75" customHeight="1" spans="10:11">
      <c r="J133" s="3"/>
      <c r="K133" s="90"/>
    </row>
    <row r="134" ht="12.75" customHeight="1" spans="10:11">
      <c r="J134" s="3"/>
      <c r="K134" s="90"/>
    </row>
    <row r="135" ht="12.75" customHeight="1" spans="10:11">
      <c r="J135" s="3"/>
      <c r="K135" s="90"/>
    </row>
    <row r="136" ht="12.75" customHeight="1" spans="10:11">
      <c r="J136" s="3"/>
      <c r="K136" s="90"/>
    </row>
    <row r="137" ht="12.75" customHeight="1" spans="10:11">
      <c r="J137" s="3"/>
      <c r="K137" s="90"/>
    </row>
    <row r="138" ht="12.75" customHeight="1" spans="10:11">
      <c r="J138" s="3"/>
      <c r="K138" s="90"/>
    </row>
    <row r="139" ht="12.75" customHeight="1" spans="10:11">
      <c r="J139" s="3"/>
      <c r="K139" s="90"/>
    </row>
    <row r="140" ht="12.75" customHeight="1" spans="10:11">
      <c r="J140" s="3"/>
      <c r="K140" s="90"/>
    </row>
    <row r="141" ht="12.75" customHeight="1" spans="10:11">
      <c r="J141" s="3"/>
      <c r="K141" s="90"/>
    </row>
    <row r="142" ht="12.75" customHeight="1" spans="10:11">
      <c r="J142" s="3"/>
      <c r="K142" s="90"/>
    </row>
    <row r="143" ht="12.75" customHeight="1" spans="10:11">
      <c r="J143" s="3"/>
      <c r="K143" s="90"/>
    </row>
    <row r="144" ht="12.75" customHeight="1" spans="10:11">
      <c r="J144" s="3"/>
      <c r="K144" s="90"/>
    </row>
    <row r="145" ht="12.75" customHeight="1" spans="10:11">
      <c r="J145" s="3"/>
      <c r="K145" s="90"/>
    </row>
    <row r="146" ht="12.75" customHeight="1" spans="10:11">
      <c r="J146" s="3"/>
      <c r="K146" s="90"/>
    </row>
    <row r="147" ht="12.75" customHeight="1" spans="10:11">
      <c r="J147" s="3"/>
      <c r="K147" s="90"/>
    </row>
    <row r="148" ht="12.75" customHeight="1" spans="10:11">
      <c r="J148" s="3"/>
      <c r="K148" s="90"/>
    </row>
    <row r="149" ht="12.75" customHeight="1" spans="10:11">
      <c r="J149" s="3"/>
      <c r="K149" s="90"/>
    </row>
    <row r="150" ht="12.75" customHeight="1" spans="10:11">
      <c r="J150" s="3"/>
      <c r="K150" s="90"/>
    </row>
    <row r="151" ht="12.75" customHeight="1" spans="10:11">
      <c r="J151" s="3"/>
      <c r="K151" s="90"/>
    </row>
    <row r="152" ht="12.75" customHeight="1" spans="10:11">
      <c r="J152" s="3"/>
      <c r="K152" s="90"/>
    </row>
    <row r="153" ht="12.75" customHeight="1" spans="10:11">
      <c r="J153" s="3"/>
      <c r="K153" s="90"/>
    </row>
    <row r="154" ht="12.75" customHeight="1" spans="10:11">
      <c r="J154" s="3"/>
      <c r="K154" s="90"/>
    </row>
    <row r="155" ht="12.75" customHeight="1" spans="10:11">
      <c r="J155" s="3"/>
      <c r="K155" s="90"/>
    </row>
    <row r="156" ht="12.75" customHeight="1" spans="10:11">
      <c r="J156" s="3"/>
      <c r="K156" s="90"/>
    </row>
    <row r="157" ht="12.75" customHeight="1" spans="10:11">
      <c r="J157" s="3"/>
      <c r="K157" s="90"/>
    </row>
    <row r="158" ht="12.75" customHeight="1" spans="10:11">
      <c r="J158" s="3"/>
      <c r="K158" s="90"/>
    </row>
    <row r="159" ht="12.75" customHeight="1" spans="10:11">
      <c r="J159" s="3"/>
      <c r="K159" s="90"/>
    </row>
    <row r="160" ht="12.75" customHeight="1" spans="10:11">
      <c r="J160" s="3"/>
      <c r="K160" s="90"/>
    </row>
    <row r="161" ht="12.75" customHeight="1" spans="10:11">
      <c r="J161" s="3"/>
      <c r="K161" s="90"/>
    </row>
    <row r="162" ht="12.75" customHeight="1" spans="10:11">
      <c r="J162" s="3"/>
      <c r="K162" s="90"/>
    </row>
    <row r="163" ht="12.75" customHeight="1" spans="10:11">
      <c r="J163" s="3"/>
      <c r="K163" s="90"/>
    </row>
    <row r="164" ht="12.75" customHeight="1" spans="10:11">
      <c r="J164" s="3"/>
      <c r="K164" s="90"/>
    </row>
    <row r="165" ht="12.75" customHeight="1" spans="10:11">
      <c r="J165" s="3"/>
      <c r="K165" s="90"/>
    </row>
    <row r="166" ht="12.75" customHeight="1" spans="10:11">
      <c r="J166" s="3"/>
      <c r="K166" s="90"/>
    </row>
    <row r="167" ht="12.75" customHeight="1" spans="10:11">
      <c r="J167" s="3"/>
      <c r="K167" s="90"/>
    </row>
    <row r="168" ht="12.75" customHeight="1" spans="10:11">
      <c r="J168" s="3"/>
      <c r="K168" s="90"/>
    </row>
    <row r="169" ht="12.75" customHeight="1" spans="10:11">
      <c r="J169" s="3"/>
      <c r="K169" s="90"/>
    </row>
    <row r="170" ht="12.75" customHeight="1" spans="10:11">
      <c r="J170" s="3"/>
      <c r="K170" s="90"/>
    </row>
    <row r="171" ht="12.75" customHeight="1" spans="10:11">
      <c r="J171" s="3"/>
      <c r="K171" s="90"/>
    </row>
    <row r="172" ht="12.75" customHeight="1" spans="10:11">
      <c r="J172" s="3"/>
      <c r="K172" s="90"/>
    </row>
    <row r="173" ht="12.75" customHeight="1" spans="10:11">
      <c r="J173" s="3"/>
      <c r="K173" s="90"/>
    </row>
    <row r="174" ht="12.75" customHeight="1" spans="10:11">
      <c r="J174" s="3"/>
      <c r="K174" s="90"/>
    </row>
    <row r="175" ht="12.75" customHeight="1" spans="10:11">
      <c r="J175" s="3"/>
      <c r="K175" s="90"/>
    </row>
    <row r="176" ht="12.75" customHeight="1" spans="10:11">
      <c r="J176" s="3"/>
      <c r="K176" s="90"/>
    </row>
    <row r="177" ht="12.75" customHeight="1" spans="10:11">
      <c r="J177" s="3"/>
      <c r="K177" s="90"/>
    </row>
    <row r="178" ht="12.75" customHeight="1" spans="10:11">
      <c r="J178" s="3"/>
      <c r="K178" s="90"/>
    </row>
    <row r="179" ht="12.75" customHeight="1" spans="10:11">
      <c r="J179" s="3"/>
      <c r="K179" s="90"/>
    </row>
    <row r="180" ht="12.75" customHeight="1" spans="10:11">
      <c r="J180" s="3"/>
      <c r="K180" s="90"/>
    </row>
    <row r="181" ht="12.75" customHeight="1" spans="10:11">
      <c r="J181" s="3"/>
      <c r="K181" s="90"/>
    </row>
    <row r="182" ht="12.75" customHeight="1" spans="10:11">
      <c r="J182" s="3"/>
      <c r="K182" s="90"/>
    </row>
    <row r="183" ht="12.75" customHeight="1" spans="10:11">
      <c r="J183" s="3"/>
      <c r="K183" s="90"/>
    </row>
    <row r="184" ht="12.75" customHeight="1" spans="10:11">
      <c r="J184" s="3"/>
      <c r="K184" s="90"/>
    </row>
    <row r="185" ht="12.75" customHeight="1" spans="10:11">
      <c r="J185" s="3"/>
      <c r="K185" s="90"/>
    </row>
    <row r="186" ht="12.75" customHeight="1" spans="10:11">
      <c r="J186" s="3"/>
      <c r="K186" s="90"/>
    </row>
    <row r="187" ht="12.75" customHeight="1" spans="10:11">
      <c r="J187" s="3"/>
      <c r="K187" s="90"/>
    </row>
    <row r="188" ht="12.75" customHeight="1" spans="10:11">
      <c r="J188" s="3"/>
      <c r="K188" s="90"/>
    </row>
    <row r="189" ht="12.75" customHeight="1" spans="10:11">
      <c r="J189" s="3"/>
      <c r="K189" s="90"/>
    </row>
    <row r="190" ht="12.75" customHeight="1" spans="10:11">
      <c r="J190" s="3"/>
      <c r="K190" s="90"/>
    </row>
    <row r="191" ht="12.75" customHeight="1" spans="10:11">
      <c r="J191" s="3"/>
      <c r="K191" s="90"/>
    </row>
    <row r="192" ht="12.75" customHeight="1" spans="10:11">
      <c r="J192" s="3"/>
      <c r="K192" s="90"/>
    </row>
    <row r="193" ht="12.75" customHeight="1" spans="10:11">
      <c r="J193" s="3"/>
      <c r="K193" s="90"/>
    </row>
    <row r="194" ht="12.75" customHeight="1" spans="10:11">
      <c r="J194" s="3"/>
      <c r="K194" s="90"/>
    </row>
    <row r="195" ht="12.75" customHeight="1" spans="10:11">
      <c r="J195" s="3"/>
      <c r="K195" s="90"/>
    </row>
    <row r="196" ht="12.75" customHeight="1" spans="10:11">
      <c r="J196" s="3"/>
      <c r="K196" s="90"/>
    </row>
    <row r="197" ht="12.75" customHeight="1" spans="10:11">
      <c r="J197" s="3"/>
      <c r="K197" s="90"/>
    </row>
    <row r="198" ht="12.75" customHeight="1" spans="10:11">
      <c r="J198" s="3"/>
      <c r="K198" s="90"/>
    </row>
    <row r="199" ht="12.75" customHeight="1" spans="10:11">
      <c r="J199" s="3"/>
      <c r="K199" s="90"/>
    </row>
    <row r="200" ht="12.75" customHeight="1" spans="10:11">
      <c r="J200" s="3"/>
      <c r="K200" s="90"/>
    </row>
    <row r="201" ht="12.75" customHeight="1" spans="10:11">
      <c r="J201" s="3"/>
      <c r="K201" s="90"/>
    </row>
    <row r="202" ht="12.75" customHeight="1" spans="10:11">
      <c r="J202" s="3"/>
      <c r="K202" s="90"/>
    </row>
    <row r="203" ht="12.75" customHeight="1" spans="10:11">
      <c r="J203" s="3"/>
      <c r="K203" s="90"/>
    </row>
    <row r="204" ht="12.75" customHeight="1" spans="10:11">
      <c r="J204" s="3"/>
      <c r="K204" s="90"/>
    </row>
    <row r="205" ht="12.75" customHeight="1" spans="10:11">
      <c r="J205" s="3"/>
      <c r="K205" s="90"/>
    </row>
    <row r="206" ht="12.75" customHeight="1" spans="10:11">
      <c r="J206" s="3"/>
      <c r="K206" s="90"/>
    </row>
    <row r="207" ht="12.75" customHeight="1" spans="10:11">
      <c r="J207" s="3"/>
      <c r="K207" s="90"/>
    </row>
    <row r="208" ht="12.75" customHeight="1" spans="10:11">
      <c r="J208" s="3"/>
      <c r="K208" s="90"/>
    </row>
    <row r="209" ht="12.75" customHeight="1" spans="10:11">
      <c r="J209" s="3"/>
      <c r="K209" s="90"/>
    </row>
    <row r="210" ht="12.75" customHeight="1" spans="10:11">
      <c r="J210" s="3"/>
      <c r="K210" s="90"/>
    </row>
    <row r="211" ht="12.75" customHeight="1" spans="10:11">
      <c r="J211" s="3"/>
      <c r="K211" s="90"/>
    </row>
    <row r="212" ht="12.75" customHeight="1" spans="10:11">
      <c r="J212" s="3"/>
      <c r="K212" s="90"/>
    </row>
    <row r="213" ht="12.75" customHeight="1" spans="10:11">
      <c r="J213" s="3"/>
      <c r="K213" s="90"/>
    </row>
    <row r="214" ht="12.75" customHeight="1" spans="10:11">
      <c r="J214" s="3"/>
      <c r="K214" s="90"/>
    </row>
    <row r="215" ht="12.75" customHeight="1" spans="10:11">
      <c r="J215" s="3"/>
      <c r="K215" s="90"/>
    </row>
    <row r="216" ht="12.75" customHeight="1" spans="10:11">
      <c r="J216" s="3"/>
      <c r="K216" s="90"/>
    </row>
    <row r="217" ht="12.75" customHeight="1" spans="10:11">
      <c r="J217" s="3"/>
      <c r="K217" s="90"/>
    </row>
    <row r="218" ht="12.75" customHeight="1" spans="10:11">
      <c r="J218" s="3"/>
      <c r="K218" s="90"/>
    </row>
    <row r="219" ht="12.75" customHeight="1" spans="10:11">
      <c r="J219" s="3"/>
      <c r="K219" s="9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7">
    <mergeCell ref="B3:D3"/>
    <mergeCell ref="I3:K3"/>
    <mergeCell ref="B4:D4"/>
    <mergeCell ref="I4:K4"/>
    <mergeCell ref="B5:D5"/>
    <mergeCell ref="I5:K5"/>
    <mergeCell ref="I6:K6"/>
    <mergeCell ref="I7:K7"/>
    <mergeCell ref="A8:D8"/>
    <mergeCell ref="A11:K11"/>
    <mergeCell ref="A12:K12"/>
    <mergeCell ref="D13:F13"/>
    <mergeCell ref="D14:F14"/>
    <mergeCell ref="D15:F15"/>
    <mergeCell ref="A16:K16"/>
    <mergeCell ref="D17:F17"/>
    <mergeCell ref="A18:K18"/>
    <mergeCell ref="D19:F19"/>
    <mergeCell ref="A9:A10"/>
    <mergeCell ref="B9:B10"/>
    <mergeCell ref="C9:C10"/>
    <mergeCell ref="H9:H10"/>
    <mergeCell ref="I9:I10"/>
    <mergeCell ref="J9:J10"/>
    <mergeCell ref="K9:K10"/>
    <mergeCell ref="B1:D2"/>
    <mergeCell ref="D9:G10"/>
  </mergeCells>
  <pageMargins left="0.75" right="0.75" top="1" bottom="1" header="0" footer="0"/>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workbookViewId="0">
      <selection activeCell="A1" sqref="A1"/>
    </sheetView>
  </sheetViews>
  <sheetFormatPr defaultColWidth="12.6296296296296" defaultRowHeight="15" customHeight="1"/>
  <cols>
    <col min="1" max="2" width="8.87962962962963" customWidth="1"/>
    <col min="3" max="3" width="22.8796296296296" customWidth="1"/>
    <col min="4" max="6" width="8.87962962962963" customWidth="1"/>
    <col min="7" max="7" width="18.8796296296296" customWidth="1"/>
    <col min="8" max="26" width="8.87962962962963" customWidth="1"/>
  </cols>
  <sheetData>
    <row r="1" ht="27.75" customHeight="1" spans="1:26">
      <c r="A1" s="1" t="s">
        <v>157</v>
      </c>
      <c r="B1" s="2"/>
      <c r="C1" s="3"/>
      <c r="D1" s="3"/>
      <c r="E1" s="3"/>
      <c r="F1" s="3"/>
      <c r="G1" s="4"/>
    </row>
    <row r="2" ht="14.25" customHeight="1" spans="1:26">
      <c r="A2" s="1"/>
      <c r="B2" s="2"/>
      <c r="C2" s="3"/>
      <c r="D2" s="3"/>
      <c r="E2" s="3"/>
      <c r="F2" s="3"/>
      <c r="G2" s="4"/>
    </row>
    <row r="3" ht="12.75" customHeight="1" spans="1:26">
      <c r="B3" s="3" t="s">
        <v>158</v>
      </c>
      <c r="C3" s="3"/>
      <c r="D3" s="3"/>
      <c r="E3" s="3"/>
      <c r="F3" s="3"/>
      <c r="G3" s="4"/>
    </row>
    <row r="4" ht="12.75" customHeight="1" spans="1:26">
      <c r="B4" s="3" t="s">
        <v>159</v>
      </c>
      <c r="C4" s="5"/>
      <c r="D4" s="3"/>
      <c r="E4" s="3"/>
      <c r="F4" s="3"/>
      <c r="G4" s="3"/>
    </row>
    <row r="5" ht="12.75" customHeight="1" spans="1:26">
      <c r="A5" s="3"/>
      <c r="B5" s="3"/>
      <c r="C5" s="3"/>
      <c r="D5" s="3"/>
      <c r="E5" s="3"/>
      <c r="F5" s="3"/>
      <c r="G5" s="3"/>
    </row>
    <row r="6" ht="12.75" customHeight="1" spans="1:26">
      <c r="A6" s="3"/>
      <c r="B6" s="3"/>
      <c r="C6" s="3"/>
      <c r="D6" s="3"/>
      <c r="E6" s="3"/>
      <c r="F6" s="3"/>
      <c r="G6" s="3"/>
    </row>
    <row r="7" ht="12.75" customHeight="1" spans="1:26">
      <c r="A7" s="3"/>
      <c r="B7" s="6" t="s">
        <v>160</v>
      </c>
      <c r="C7" s="7" t="s">
        <v>161</v>
      </c>
      <c r="D7" s="8" t="s">
        <v>25</v>
      </c>
      <c r="E7" s="7" t="s">
        <v>27</v>
      </c>
      <c r="F7" s="7" t="s">
        <v>26</v>
      </c>
      <c r="G7" s="9" t="s">
        <v>162</v>
      </c>
    </row>
    <row r="8" ht="12.75" customHeight="1" spans="1:26">
      <c r="A8" s="10"/>
      <c r="B8" s="11">
        <v>1</v>
      </c>
      <c r="C8" s="12" t="str">
        <f>'Account Management'!B4</f>
        <v>CR100 - Export to excel</v>
      </c>
      <c r="D8" s="13">
        <f>'Account Management'!B6</f>
        <v>3</v>
      </c>
      <c r="E8" s="12">
        <f>'Account Management'!B7</f>
        <v>0</v>
      </c>
      <c r="F8" s="12">
        <f>'Account Management'!D6</f>
        <v>0</v>
      </c>
      <c r="G8" s="13">
        <f>'Account Management'!D7</f>
        <v>3</v>
      </c>
      <c r="H8" s="14"/>
      <c r="I8" s="14"/>
      <c r="J8" s="14"/>
      <c r="K8" s="14"/>
      <c r="L8" s="14"/>
      <c r="M8" s="14"/>
      <c r="N8" s="14"/>
      <c r="O8" s="14"/>
      <c r="P8" s="14"/>
      <c r="Q8" s="14"/>
      <c r="R8" s="14"/>
      <c r="S8" s="14"/>
      <c r="T8" s="14"/>
      <c r="U8" s="14"/>
      <c r="V8" s="14"/>
      <c r="W8" s="14"/>
      <c r="X8" s="14"/>
      <c r="Y8" s="14"/>
      <c r="Z8" s="14"/>
    </row>
    <row r="9" ht="12.75" customHeight="1" spans="1:26">
      <c r="A9" s="3"/>
      <c r="B9" s="11">
        <v>2</v>
      </c>
      <c r="C9" s="12" t="str">
        <f>Booking!B4</f>
        <v>CR101 - Export to excel</v>
      </c>
      <c r="D9" s="13">
        <f>Booking!B6</f>
        <v>0</v>
      </c>
      <c r="E9" s="12">
        <f>Booking!B7</f>
        <v>0</v>
      </c>
      <c r="F9" s="15">
        <f>Booking!D6</f>
        <v>16</v>
      </c>
      <c r="G9" s="16">
        <f>Booking!D7</f>
        <v>16</v>
      </c>
    </row>
    <row r="10" ht="12.75" customHeight="1" spans="1:26">
      <c r="A10" s="3"/>
      <c r="B10" s="11">
        <v>3</v>
      </c>
      <c r="C10" s="12" t="str">
        <f>Payment!B4</f>
        <v>CR102 - Export to excel</v>
      </c>
      <c r="D10" s="13">
        <f>Payment!B6</f>
        <v>0</v>
      </c>
      <c r="E10" s="12">
        <f>Payment!B7</f>
        <v>0</v>
      </c>
      <c r="F10" s="17">
        <f>Payment!D6</f>
        <v>7</v>
      </c>
      <c r="G10" s="18">
        <f>Payment!D7</f>
        <v>7</v>
      </c>
    </row>
    <row r="11" ht="12.75" customHeight="1" spans="1:26">
      <c r="A11" s="3"/>
      <c r="B11" s="11">
        <v>4</v>
      </c>
      <c r="C11" s="12" t="str">
        <f>Cancellation!B4</f>
        <v>CR103 - Export to excel</v>
      </c>
      <c r="D11" s="13">
        <f>Cancellation!B6</f>
        <v>0</v>
      </c>
      <c r="E11" s="12">
        <f>Cancellation!B7</f>
        <v>0</v>
      </c>
      <c r="F11" s="17">
        <f>Cancellation!D6</f>
        <v>5</v>
      </c>
      <c r="G11" s="18">
        <f>Cancellation!D7</f>
        <v>5</v>
      </c>
    </row>
    <row r="12" ht="12.75" customHeight="1" spans="1:26">
      <c r="A12" s="3"/>
      <c r="B12" s="19"/>
      <c r="C12" s="20" t="s">
        <v>163</v>
      </c>
      <c r="D12" s="21">
        <f t="shared" ref="D12:G12" si="0">SUM(D8:D11)</f>
        <v>3</v>
      </c>
      <c r="E12" s="22">
        <f t="shared" si="0"/>
        <v>0</v>
      </c>
      <c r="F12" s="22">
        <f t="shared" si="0"/>
        <v>28</v>
      </c>
      <c r="G12" s="23">
        <f t="shared" si="0"/>
        <v>31</v>
      </c>
    </row>
    <row r="13" ht="12.75" customHeight="1" spans="1:26">
      <c r="A13" s="3"/>
      <c r="B13" s="24"/>
      <c r="C13" s="3"/>
      <c r="D13" s="25"/>
      <c r="E13" s="26"/>
      <c r="F13" s="26"/>
      <c r="G13" s="26"/>
    </row>
    <row r="14" ht="12.75" customHeight="1" spans="1:26">
      <c r="A14" s="3"/>
      <c r="B14" s="3"/>
      <c r="C14" s="3" t="s">
        <v>164</v>
      </c>
      <c r="D14" s="3"/>
      <c r="E14" s="27">
        <f>(D12+E12)*100/G12</f>
        <v>9.67741935483871</v>
      </c>
      <c r="F14" s="3" t="s">
        <v>165</v>
      </c>
      <c r="G14" s="28"/>
    </row>
    <row r="15" ht="12.75" customHeight="1" spans="1:26">
      <c r="A15" s="3"/>
      <c r="B15" s="3"/>
      <c r="C15" s="3" t="s">
        <v>166</v>
      </c>
      <c r="D15" s="3"/>
      <c r="E15" s="27">
        <f>D12*100/G12</f>
        <v>9.67741935483871</v>
      </c>
      <c r="F15" s="3" t="s">
        <v>165</v>
      </c>
      <c r="G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5" right="0.75" top="1" bottom="1" header="0" footer="0"/>
  <pageSetup paperSize="1" orientation="landscape"/>
  <headerFooter>
    <oddFooter>&amp;L 02ae-BM/PM/HDCV/FSOFT v1/0</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Cover</vt:lpstr>
      <vt:lpstr>Account Management</vt:lpstr>
      <vt:lpstr>Booking</vt:lpstr>
      <vt:lpstr>Payment</vt:lpstr>
      <vt:lpstr>Cancellation</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Vadim V. Bobrenok</dc:creator>
  <cp:lastModifiedBy>QUYÊN NGUYỄN PHƯƠNG</cp:lastModifiedBy>
  <dcterms:created xsi:type="dcterms:W3CDTF">2002-07-27T17:17:00Z</dcterms:created>
  <dcterms:modified xsi:type="dcterms:W3CDTF">2026-04-29T03:19:04Z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y fmtid="{D5CDD505-2E9C-101B-9397-08002B2CF9AE}" pid="3" name="ICV">
    <vt:lpwstr>80D4E567BBE84F7F976C978A58B4AD16_12</vt:lpwstr>
  </property>
  <property fmtid="{D5CDD505-2E9C-101B-9397-08002B2CF9AE}" pid="4" name="KSOProductBuildVer">
    <vt:lpwstr>1033-12.1.0.25862</vt:lpwstr>
  </property>
  <property fmtid="{D5CDD505-2E9C-101B-9397-08002B2CF9AE}" pid="5" name="CalculationRule">
    <vt:i4>0</vt:i4>
  </property>
</Properties>
</file>