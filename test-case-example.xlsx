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00" tabRatio="821"/>
  </bookViews>
  <sheets>
    <sheet name="Cover" sheetId="97" r:id="rId1"/>
    <sheet name="Account Management" sheetId="122" r:id="rId2"/>
    <sheet name="Test Report" sheetId="107" r:id="rId3"/>
  </sheets>
  <externalReferences>
    <externalReference r:id="rId4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<sst xmlns="http://schemas.openxmlformats.org/spreadsheetml/2006/main" count="239" uniqueCount="161">
  <si>
    <t>TEST CASE</t>
  </si>
  <si>
    <t>Version:</t>
  </si>
  <si>
    <t>Issue date:</t>
  </si>
  <si>
    <t>27/04/2026</t>
  </si>
  <si>
    <t>Project Name:</t>
  </si>
  <si>
    <t>MovieBookingApp</t>
  </si>
  <si>
    <t>Project Code:</t>
  </si>
  <si>
    <t>UTEHY-SE01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</si>
  <si>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</si>
  <si>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</si>
  <si>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</si>
  <si>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</si>
  <si>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</si>
  <si>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</si>
  <si>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</si>
  <si>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</si>
  <si>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1.0</t>
  </si>
  <si>
    <t>First creation for Account Management</t>
  </si>
  <si>
    <t>Ho Van Dat</t>
  </si>
  <si>
    <t>CR236 "Export all carrier choices"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</si>
  <si>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</si>
  <si>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</si>
  <si>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Export to excel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</si>
  <si>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</si>
  <si>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</si>
  <si>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</si>
  <si>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</si>
  <si>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</si>
  <si>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</si>
  <si>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</si>
  <si>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</si>
  <si>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</si>
  <si>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</si>
  <si>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</si>
  <si>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</si>
  <si>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</si>
  <si>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</si>
  <si>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Đăng ký</t>
  </si>
  <si>
    <t>TC1</t>
  </si>
  <si>
    <t>Đăng ký tài khoản thành công với đầy đủ thông tin hợp lệ</t>
  </si>
  <si>
    <t xml:space="preserve">1: Nhấn vào nút Đăng ký  
2: Nhập thông tin tên đăng nhập: vandat    
3: Nhập địa chỉ email: testuser@gmail.com    
4: Nhập vào ô mật khẩu: Aa@123456
5: Nhập vào ô Nhập lại mật khẩu: Aa@123456
6: Bấm nút Đăng ký                                       </t>
  </si>
  <si>
    <t>1: Hiển thị thông báo đăng ký thành công
2: Chuyển hướng người dùng sang trang đăng nhập
3: Lưu dữ liệu tài khoản mới vào DB</t>
  </si>
  <si>
    <t>https://drive.google.com/file/d/1GbvYes142NAC2NFEeIMz9eoMiIBfP1k_/view?usp=drive_link</t>
  </si>
  <si>
    <t>21/4/2026</t>
  </si>
  <si>
    <t>TC2</t>
  </si>
  <si>
    <t>Đăng ký tài khoản không thành công khi thiếu thông tin username</t>
  </si>
  <si>
    <t xml:space="preserve">1: Nhấn vào nút Đăng ký  
2: Nhập địa chỉ email: testuser@gmail.com    
3: Nhập vào ô mật khẩu: Aa@123456
4: Nhập vào ô Nhập lại mật khẩu: Aa@123456
5: Bấm nút Đăng ký                                       </t>
  </si>
  <si>
    <t>1: Hiển thị thông báo đăng ký không thành công khi thiếu thông tin username 
2: Yêu cầu người dùng điền thông tin username</t>
  </si>
  <si>
    <t>https://drive.google.com/file/d/1M-NBx4o6Dt8t3CkS3cxOlTfqhtpjk1r0/view?usp=drive_link</t>
  </si>
  <si>
    <t>TC3</t>
  </si>
  <si>
    <t>Đăng ký tài khoản không thành công khi thông tin username không hợp lệ</t>
  </si>
  <si>
    <t xml:space="preserve">1: Nhấn vào nút Đăng ký 
2: Nhập thông tin username:dat
3: Nhập địa chỉ email: testuser@gmail.com    
4: Nhập vào ô mật khẩu: Aa@123456
5: Nhập vào ô Nhập lại mật khẩu: Aa@123456
6: Bấm nút Đăng ký                                       </t>
  </si>
  <si>
    <t>1: Hiển thị thông báo đăng ký không thành công khi thông tin username không hợp lệ
2: Yêu cầu người dùng điền lại thông tin username</t>
  </si>
  <si>
    <t>https://drive.google.com/file/d/1KQQ-UdT-9crW8D-g83h_koGKh5eeADeK/view?usp=drive_link</t>
  </si>
  <si>
    <t>TC4</t>
  </si>
  <si>
    <t>Đăng ký tài khoản không thành công khi thiếu thông tin email</t>
  </si>
  <si>
    <t xml:space="preserve">1: Nhấn vào nút Đăng ký 
2: Nhập thông tin username: vandat 
3: Nhập vào ô mật khẩu: Aa@123456
4: Nhập vào ô Nhập lại mật khẩu: Aa@123456
5: Bấm nút Đăng ký                                       </t>
  </si>
  <si>
    <t>1: Hiển thị thông báo đăng ký không thành công khi thiếu thông tin email
2: Yêu cầu người dùng điền lại thông tin email</t>
  </si>
  <si>
    <t>https://drive.google.com/file/d/1kU5-u7T-R0U3m8c0Lsfqs9dPXLfFkNv5/view?usp=drive_link</t>
  </si>
  <si>
    <t>TC5</t>
  </si>
  <si>
    <t>Đăng ký tài khoản không thành công khi thông tin email không hợp lệ</t>
  </si>
  <si>
    <t xml:space="preserve">1: Nhấn vào nút Đăng ký 
2: Nhập thông tin username: vandat
3: Nhập địa chỉ email: testuser.gmail.com    
4: Nhập vào ô mật khẩu: Aa@123456
5: Nhập vào ô Nhập lại mật khẩu: Aa@123456
6: Bấm nút Đăng ký                                       </t>
  </si>
  <si>
    <t>1: Hiển thị thông báo đăng ký không thành công khi thông tin email không hợp lệ
2: Yêu cầu người dùng điền lại thông tin email</t>
  </si>
  <si>
    <t>https://drive.google.com/file/d/1e3KIN_RZpmbwYOnoLf2iopMqr2i3Ti3p/view?usp=drive_link</t>
  </si>
  <si>
    <t>TC6</t>
  </si>
  <si>
    <t>Đăng ký tài khoản không thành công khi thiếu thông tin pasword</t>
  </si>
  <si>
    <t xml:space="preserve">1: Nhấn vào nút Đăng ký 
2: Nhập thông tin username: vandat
3: Nhập địa chỉ email: testuser.gmail.com    
4: Bấm nút Đăng ký                                       </t>
  </si>
  <si>
    <t>1: Hiển thị thông báo đăng ký không thành công khi thiếu thông tin password
2: Yêu cầu người dùng điền thông tin password</t>
  </si>
  <si>
    <t>https://drive.google.com/file/d/1-nseByxdgPdvHtihqJKPOhfaSASBlo6_/view?usp=drive_link</t>
  </si>
  <si>
    <t>TC7</t>
  </si>
  <si>
    <t>Đăng ký tài khoản không thành công khi thông tin password không hợp lệ</t>
  </si>
  <si>
    <t xml:space="preserve">1: Nhấn vào nút Đăng ký 
2: Nhập thông tin username: vandat
3: Nhập địa chỉ email: testuser.gmail.com    
4: Nhập vào ô mật khẩu: 123
5: Nhập vào ô Nhập lại mật khẩu: 123
6: Bấm nút Đăng ký                                       </t>
  </si>
  <si>
    <t>1: Hiển thị thông báo đăng ký không thành công khi thông tin password không hợp lệ
2: Yêu cầu người dùng điền lại thông tin password</t>
  </si>
  <si>
    <t>https://drive.google.com/file/d/1jIKX6VSMRoBixYrD-5SdMNfvHuuwpMa4/view?usp=drive_link</t>
  </si>
  <si>
    <t>TC8</t>
  </si>
  <si>
    <t>Đăng ký tài khoản không thành công khi thiếu thông tin nhập lại mật khẩu</t>
  </si>
  <si>
    <t xml:space="preserve">1: Nhấn vào nút Đăng ký 
2: Nhập thông tin username: vandat
3: Nhập địa chỉ email: testuser.gmail.com
4: Nhập vào ô mật khẩu:Aa@123456    
5: Bấm nút Đăng ký                                       </t>
  </si>
  <si>
    <t>1: Hiển thị thông báo đăng ký không thành công khi thiếu thông tin xác nhận mật khẩu
2: Yêu cầu người dùng điền thông tin xác nhận mật khẩu</t>
  </si>
  <si>
    <t>https://drive.google.com/file/d/1hn8Eivi2ftJIBS2pjJ30R4qsJp4rCIja/view?usp=drive_link</t>
  </si>
  <si>
    <t>TC9</t>
  </si>
  <si>
    <t>Đăng ký tài khoản không thành công khi thông tin xác nhận mật khẩu không hợp lệ</t>
  </si>
  <si>
    <t xml:space="preserve">1: Nhấn vào nút Đăng ký 
2: Nhập thông tin username: vandat
3: Nhập địa chỉ email: testuser.gmail.com    
4: Nhập vào ô mật khẩu: Aa@123456
5: Nhập vào ô Nhập lại mật khẩu: 123456
6: Bấm nút Đăng ký                                       </t>
  </si>
  <si>
    <t>1: Hiển thị thông báo đăng ký không thành công khi thông tin xác nhận mật khẩu không hợp lệ
2: Yêu cầu người dùng điền lại thông tin xác nhận mật khẩu</t>
  </si>
  <si>
    <t>https://drive.google.com/file/d/1Bc1I02R8gotbkm53pdTTCKX689bw5L7N/view?usp=drive_link</t>
  </si>
  <si>
    <t>2. Đăng nhập</t>
  </si>
  <si>
    <t>Đăng nhập tài khoản thành công với đầy đủ thông tin hợp lệ</t>
  </si>
  <si>
    <t>1: Nhấn vào nút đăng nhập
2: Nhập thông tin username: vandat 
3: Nhập thông tin password: Aa@123456
4: Bấm nút Đăng nhập</t>
  </si>
  <si>
    <t>1: Hiển thị thông báo đăng nhập thành công và hiển thị avatar(mặc định), thông tin tài khoản góc trái
2: Chuyển hướng người dùng đến trang chủ</t>
  </si>
  <si>
    <t>https://drive.google.com/file/d/1kTE--dZvuHT3JGFdA7QVAqW4jMmp5lvH/view?usp=drive_link</t>
  </si>
  <si>
    <t>22/4/2026</t>
  </si>
  <si>
    <t>Đăng nhập tài khoản không thành công khi thiếu thông tin username</t>
  </si>
  <si>
    <t>1: Nhấn vào nút đăng nhập
2: Nhập thông tin password: Aa@123456
3: Bấm nút Đăng nhập</t>
  </si>
  <si>
    <t>1: Hiển thị thông báo đăng nhập không thành công
2: Yêu cầu người dùng điền thông tin username</t>
  </si>
  <si>
    <t>https://drive.google.com/file/d/19NDaL0EtJSKZRkSBA53Ay8t05crEXJUf/view?usp=drive_link</t>
  </si>
  <si>
    <t>Đăng nhập tài khoản không thành công khi thông tin username không hợp lệ</t>
  </si>
  <si>
    <t>1: Nhấn vào nút đăng nhập
2: Nhập thông tin username: vandat123 
3: Nhập thông tin password: Aa@123456
4: Bấm nút Đăng nhập</t>
  </si>
  <si>
    <t>1: Hiển thị thông báo đăng nhập thành công vì không có tên username trong DB
2: Yêu cầu người dùng điền lại thông tin</t>
  </si>
  <si>
    <t>https://drive.google.com/file/d/10ECegnTF17Cx9SlX7mdpSbiEHIF2_OHA/view?usp=drive_link</t>
  </si>
  <si>
    <t>Đăng nhập tài khoản không thành công khi thiếu thông tin password</t>
  </si>
  <si>
    <t>1: Nhấn vào nút đăng nhập
2: Nhập thông tin username: vandat
3: Bấm nút Đăng nhập</t>
  </si>
  <si>
    <t>1: Hiển thị thông báo đăng nhập không thành công
2: Yêu cầu người dùng điền thông tin password</t>
  </si>
  <si>
    <t>https://drive.google.com/file/d/16_hKnE8wMOpwh0zfZY0FRZmMQm_BwjtB/view?usp=drive_link</t>
  </si>
  <si>
    <t>Đăng nhập tài khoản không thành công khi thông tin password không hợp lệ</t>
  </si>
  <si>
    <t>1: Nhấn vào nút đăng nhập
2: Nhập thông tin username: vandat123 
3: Nhập thông tin password: Aa@123
4: Bấm nút Đăng nhập</t>
  </si>
  <si>
    <t>1: Hiển thị thông báo đăng nhập thành công vì sai mật khẩu
2: Yêu cầu người dùng điền lại thông tin</t>
  </si>
  <si>
    <t>https://drive.google.com/file/d/1VbcsOPCOjiI-o8-sMFdIkV12pCULO70M/view?usp=drive_link</t>
  </si>
  <si>
    <t>3. Phân quyền</t>
  </si>
  <si>
    <t xml:space="preserve">Guest truy cập trang chủ </t>
  </si>
  <si>
    <t xml:space="preserve">1: Truy cập URL trang home </t>
  </si>
  <si>
    <t>1: Hiển thị trang chủ</t>
  </si>
  <si>
    <t>https://drive.google.com/file/d/1gumPUHQBLb1jIHBCZ5zPISjpcIOSB2lk/view?usp=drive_link</t>
  </si>
  <si>
    <t>Guest truy cập trang đặt vé không thành công</t>
  </si>
  <si>
    <t xml:space="preserve">1: Truy cập trang phim hoặc rạp phim 
2: Chọn phim
3: Chọn suất chiếu 
</t>
  </si>
  <si>
    <t>1: Hiển thị hộp thoại đăng nhập yêu cầu đăng nhập trước khi đặt</t>
  </si>
  <si>
    <t>https://drive.google.com/file/d/1YxMoTTiECsI_tBz-761YVEUxJUHXLvsx/view?usp=drive_link</t>
  </si>
  <si>
    <t>Guest truy cập vào các URL không được phép</t>
  </si>
  <si>
    <t xml:space="preserve">1: Nhập trực tiếp URL của các trang (vd: trang vé của tôi trang checkin, trang admin,v.v)
</t>
  </si>
  <si>
    <t xml:space="preserve">1: Người dùng bị chặn truy cập </t>
  </si>
  <si>
    <t>https://drive.google.com/file/d/1niwQDdoWN2MRGoG8EWSAIo20_OzsVkOY/view?usp=drive_link</t>
  </si>
  <si>
    <t>User truy cập trang đặt vé, trang thanh toán thành công</t>
  </si>
  <si>
    <t>1: Truy cập trang phim hoặc rạp phim(đã đăng nhập tài khoản User)
2: Chọn phim
3: Chọn suất chiếu,chọn chỗ ngồi  
4: Bấm tiếp tục thanh toán</t>
  </si>
  <si>
    <t>1: Hiển thị các trang web đúng yêu cầu</t>
  </si>
  <si>
    <t>https://drive.google.com/file/d/1VbLmz5roaIuW_SLEpx1WfNPwx5AYmqzt/view?usp=drive_link
https://drive.google.com/file/d/1MpEQMnfRMP_O7Ixg5DrLd2hcIo3qdleg/view?usp=drive_link
https://drive.google.com/file/d/1j5tT9qElGB1UZ1SQzGBRlT8Q0ykBOyTD/view?usp=drive_link
https://drive.google.com/file/d/1UYU_ltki90iHeFGBh5ItJQ3bsp6WQ6nJ/view?usp=drive_link</t>
  </si>
  <si>
    <t>User truy cập trang admin,checkin không thành công</t>
  </si>
  <si>
    <t>https://drive.google.com/file/d/1q9UY_TfuHmCtTCltBM9FxPoMnY5xwH-w/view?usp=drive_link
https://drive.google.com/file/d/1lhR2KcZwl7anMFNpnvhDLuuYcT0xbw2A/view?usp=drive_link</t>
  </si>
  <si>
    <t>STAFF truy cập trang chủ, rạp, phim,checkin thành công</t>
  </si>
  <si>
    <t xml:space="preserve">1: Truy cập vào các trang web tương ứng
</t>
  </si>
  <si>
    <t>https://drive.google.com/file/d/1sC7uoWduAGtV798fP10EkN3y1evFWiuw/view?usp=drive_link
https://drive.google.com/file/d/1TMqVtufSIQMXHSppur3ho42wBrFs2H5c/view?usp=drive_link</t>
  </si>
  <si>
    <t>STAFF truy cập vào các URL không được phép</t>
  </si>
  <si>
    <t xml:space="preserve">1: Nhập trực tiếp URL của các trang (vd: trang vé của tôi, trang admin,v.v)
</t>
  </si>
  <si>
    <t>1: Người dùng bị chặn truy cập</t>
  </si>
  <si>
    <t>https://drive.google.com/file/d/1NuH-hF1lRdO4lGz5uBX4Jf4WNxfiL1zS/view?usp=drive_link
https://drive.google.com/file/d/1kd5a658_J2GMNk3F8eHi7psbOAhiUv3M/view?usp=drive_link</t>
  </si>
  <si>
    <t>Admin truy cập thành công trang Admin</t>
  </si>
  <si>
    <t xml:space="preserve">1: Nhập URL trang admin
</t>
  </si>
  <si>
    <t>1: Hiển thị trang admin</t>
  </si>
  <si>
    <t>https://drive.google.com/file/d/1HUYRVMPIXtkJuuGPz-BhJzODsbAZ_rny/view?usp=drive_link
https://drive.google.com/file/d/1CjTzUTDgxi4qOmunowfdAtjsSZ4-u2Ez/view?usp=drive_link</t>
  </si>
  <si>
    <t>Admin truy cập không thành công trang đặt vé, vé của tôi</t>
  </si>
  <si>
    <t>https://drive.google.com/file/d/1G-32WKdcFfLUA3Qk6Apts87UDTQTKwIt/view?usp=drive_link
https://drive.google.com/file/d/1mnExH_haaNT9FVDtHuagJ7XP6-dxYB6q/view?usp=drive_link</t>
  </si>
  <si>
    <t>4. Đăng xuất</t>
  </si>
  <si>
    <t>Đăng xuất thành công</t>
  </si>
  <si>
    <t>1: Đang đăng nhập bình thường
2: Nhấn vào nút "Đăng xuất"</t>
  </si>
  <si>
    <t>1: Chuyển hướng người dùng về trang chủ 
2: Xóa session hiện tại của người dùng đó</t>
  </si>
  <si>
    <t>https://drive.google.com/file/d/18sZ2vd6dYr7e3CG3oArjQHlB0xO-bk0B/view?usp=drive_link</t>
  </si>
  <si>
    <t>Truy cập trang bảo mật sau khi Đăng xuất</t>
  </si>
  <si>
    <t>1: Bấm nút "Đăng xuất"
2: Nhập trực tiếp URL các trang bảo mật (vd:/check_in,/admin)</t>
  </si>
  <si>
    <t>https://drive.google.com/file/d/1vLbyAL-HJxN9APoBnFixaED75UrkKheT/view?usp=drive_link
https://drive.google.com/file/d/17yK0_9X0iQq8WZcUnpmFInskMXQWjC7C/view?usp=drive_link</t>
  </si>
  <si>
    <t>23/4/2026</t>
  </si>
  <si>
    <t>Đăng xuất khi có giỏ hàng đang chờ thanh toán</t>
  </si>
  <si>
    <t>1: Đăng nhập với tài khoản User
2: Chọn phim A, suất chiếu 7h, ghế 1 và đang thực hiện thanh toán
3: Bấm đăng xuất
4: Đăng nhập lại</t>
  </si>
  <si>
    <t>1: Trạng thái ghế đang giữ phải được giải phóng và khi đăng nhập lại gắn lại thông tin giữ ghế như ban đầu</t>
  </si>
  <si>
    <t>https://drive.google.com/file/d/1XJbuS6EqFzK0sjIHk-xN0SebkRtdl60S/view?usp=drive_link
https://drive.google.com/file/d/1pUw-qLGqs_L061MHcZvOqhofyeynz8ZM/view?usp=drive_link
https://drive.google.com/file/d/14rn2BncN2PfZ8IZwZHWyKS-IwWEa0kWj/view?usp=drive_link
https://drive.google.com/file/d/1uR3RmYMB_xFNaaAm0jm8dlR_GdvOgGD9/view?usp=drive_link</t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</si>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</sst>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;@"/>
    <numFmt numFmtId="179" formatCode="0.000"/>
  </numFmts>
  <fonts count="42">
    <font>
      <sz val="11"/>
      <name val="ＭＳ Ｐゴシック"/>
      <charset val="128"/>
    </font>
    <font>
      <b/>
      <sz val="18"/>
      <name val="Tahoma"/>
      <charset val="134"/>
    </font>
    <font>
      <b/>
      <sz val="10"/>
      <name val="Tahoma"/>
      <charset val="134"/>
    </font>
    <font>
      <sz val="10"/>
      <name val="Tahoma"/>
      <charset val="134"/>
    </font>
    <font>
      <b/>
      <sz val="10"/>
      <color indexed="9"/>
      <name val="Tahoma"/>
      <charset val="134"/>
    </font>
    <font>
      <sz val="10"/>
      <name val="ＭＳ Ｐゴシック"/>
      <charset val="128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sz val="10"/>
      <color indexed="8"/>
      <name val="Tahoma"/>
      <charset val="134"/>
    </font>
    <font>
      <sz val="8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u/>
      <sz val="11"/>
      <color rgb="FF800080"/>
      <name val="Calibri"/>
      <charset val="0"/>
      <scheme val="minor"/>
    </font>
    <font>
      <sz val="10"/>
      <color indexed="10"/>
      <name val="Tahoma"/>
      <charset val="134"/>
    </font>
    <font>
      <u/>
      <sz val="11"/>
      <color rgb="FF0000FF"/>
      <name val="Calibri"/>
      <charset val="0"/>
      <scheme val="minor"/>
    </font>
    <font>
      <sz val="10"/>
      <color rgb="FF000000"/>
      <name val="Tahoma"/>
      <charset val="134"/>
    </font>
    <font>
      <sz val="10"/>
      <color rgb="FFFF0000"/>
      <name val="Tahoma"/>
      <charset val="134"/>
    </font>
    <font>
      <sz val="11"/>
      <name val="Tahoma"/>
      <charset val="134"/>
    </font>
    <font>
      <b/>
      <sz val="10"/>
      <color indexed="60"/>
      <name val="Tahoma"/>
      <charset val="134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ＭＳ ゴシック"/>
      <charset val="128"/>
    </font>
    <font>
      <b/>
      <sz val="10"/>
      <name val="MS Gothic"/>
      <charset val="134"/>
    </font>
    <font>
      <b/>
      <sz val="10"/>
      <name val="ＭＳ Ｐゴシック"/>
      <charset val="128"/>
    </font>
  </fonts>
  <fills count="38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176" fontId="2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177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1" fillId="7" borderId="35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6" applyNumberFormat="0" applyFill="0" applyAlignment="0" applyProtection="0">
      <alignment vertical="center"/>
    </xf>
    <xf numFmtId="0" fontId="26" fillId="0" borderId="36" applyNumberFormat="0" applyFill="0" applyAlignment="0" applyProtection="0">
      <alignment vertical="center"/>
    </xf>
    <xf numFmtId="0" fontId="27" fillId="0" borderId="37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8" borderId="38" applyNumberFormat="0" applyAlignment="0" applyProtection="0">
      <alignment vertical="center"/>
    </xf>
    <xf numFmtId="0" fontId="29" fillId="9" borderId="39" applyNumberFormat="0" applyAlignment="0" applyProtection="0">
      <alignment vertical="center"/>
    </xf>
    <xf numFmtId="0" fontId="30" fillId="9" borderId="38" applyNumberFormat="0" applyAlignment="0" applyProtection="0">
      <alignment vertical="center"/>
    </xf>
    <xf numFmtId="0" fontId="31" fillId="10" borderId="40" applyNumberFormat="0" applyAlignment="0" applyProtection="0">
      <alignment vertical="center"/>
    </xf>
    <xf numFmtId="0" fontId="32" fillId="0" borderId="41" applyNumberFormat="0" applyFill="0" applyAlignment="0" applyProtection="0">
      <alignment vertical="center"/>
    </xf>
    <xf numFmtId="0" fontId="33" fillId="0" borderId="42" applyNumberFormat="0" applyFill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37" fillId="14" borderId="0" applyNumberFormat="0" applyBorder="0" applyAlignment="0" applyProtection="0">
      <alignment vertical="center"/>
    </xf>
    <xf numFmtId="0" fontId="38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0" fillId="0" borderId="0"/>
    <xf numFmtId="0" fontId="0" fillId="0" borderId="0" applyProtection="0"/>
    <xf numFmtId="0" fontId="39" fillId="0" borderId="0"/>
  </cellStyleXfs>
  <cellXfs count="137">
    <xf numFmtId="0" fontId="0" fillId="0" borderId="0" xfId="0"/>
    <xf numFmtId="0" fontId="0" fillId="0" borderId="0" xfId="0" applyAlignment="1">
      <alignment wrapText="1"/>
    </xf>
    <xf numFmtId="0" fontId="1" fillId="0" borderId="0" xfId="49" applyFont="1"/>
    <xf numFmtId="0" fontId="2" fillId="0" borderId="0" xfId="49" applyFont="1"/>
    <xf numFmtId="0" fontId="3" fillId="0" borderId="0" xfId="49" applyFont="1"/>
    <xf numFmtId="178" fontId="3" fillId="0" borderId="0" xfId="49" applyNumberFormat="1" applyFont="1"/>
    <xf numFmtId="0" fontId="3" fillId="0" borderId="0" xfId="0" applyFont="1"/>
    <xf numFmtId="178" fontId="3" fillId="0" borderId="1" xfId="0" applyNumberFormat="1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1" fontId="3" fillId="0" borderId="6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3" fillId="0" borderId="5" xfId="0" applyFont="1" applyBorder="1"/>
    <xf numFmtId="0" fontId="5" fillId="0" borderId="5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4" fillId="2" borderId="8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0" applyNumberFormat="1" applyFont="1" applyAlignment="1">
      <alignment horizontal="center"/>
    </xf>
    <xf numFmtId="9" fontId="3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9" fillId="0" borderId="0" xfId="0" applyFont="1"/>
    <xf numFmtId="0" fontId="8" fillId="0" borderId="0" xfId="0" applyFont="1"/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9" fillId="0" borderId="0" xfId="0" applyFont="1" applyAlignment="1">
      <alignment vertical="top"/>
    </xf>
    <xf numFmtId="0" fontId="3" fillId="0" borderId="0" xfId="0" applyFont="1" applyBorder="1"/>
    <xf numFmtId="0" fontId="0" fillId="0" borderId="0" xfId="0" applyBorder="1"/>
    <xf numFmtId="0" fontId="2" fillId="3" borderId="0" xfId="50" applyFont="1" applyFill="1"/>
    <xf numFmtId="0" fontId="9" fillId="3" borderId="0" xfId="0" applyFont="1" applyFill="1" applyAlignment="1">
      <alignment horizontal="center" wrapText="1"/>
    </xf>
    <xf numFmtId="0" fontId="9" fillId="3" borderId="0" xfId="0" applyFont="1" applyFill="1" applyAlignment="1">
      <alignment wrapText="1"/>
    </xf>
    <xf numFmtId="0" fontId="8" fillId="3" borderId="0" xfId="0" applyFont="1" applyFill="1" applyAlignment="1">
      <alignment wrapText="1"/>
    </xf>
    <xf numFmtId="0" fontId="9" fillId="3" borderId="0" xfId="0" applyFont="1" applyFill="1"/>
    <xf numFmtId="0" fontId="9" fillId="3" borderId="10" xfId="0" applyFont="1" applyFill="1" applyBorder="1" applyAlignment="1">
      <alignment horizontal="center" wrapText="1"/>
    </xf>
    <xf numFmtId="0" fontId="2" fillId="3" borderId="11" xfId="50" applyFont="1" applyFill="1" applyBorder="1" applyAlignment="1">
      <alignment horizontal="left" wrapText="1"/>
    </xf>
    <xf numFmtId="0" fontId="3" fillId="3" borderId="12" xfId="50" applyFont="1" applyFill="1" applyBorder="1" applyAlignment="1">
      <alignment horizontal="left" wrapText="1"/>
    </xf>
    <xf numFmtId="0" fontId="3" fillId="3" borderId="13" xfId="50" applyFont="1" applyFill="1" applyBorder="1" applyAlignment="1">
      <alignment horizontal="left" wrapText="1"/>
    </xf>
    <xf numFmtId="0" fontId="3" fillId="3" borderId="0" xfId="50" applyFont="1" applyFill="1" applyAlignment="1">
      <alignment horizontal="left" wrapText="1"/>
    </xf>
    <xf numFmtId="0" fontId="8" fillId="3" borderId="0" xfId="0" applyFont="1" applyFill="1" applyAlignment="1">
      <alignment horizontal="center" wrapText="1"/>
    </xf>
    <xf numFmtId="0" fontId="8" fillId="3" borderId="0" xfId="0" applyFont="1" applyFill="1"/>
    <xf numFmtId="0" fontId="2" fillId="3" borderId="14" xfId="50" applyFont="1" applyFill="1" applyBorder="1" applyAlignment="1">
      <alignment horizontal="left" vertical="center" wrapText="1"/>
    </xf>
    <xf numFmtId="0" fontId="3" fillId="3" borderId="15" xfId="50" applyFont="1" applyFill="1" applyBorder="1" applyAlignment="1">
      <alignment horizontal="left" vertical="top" wrapText="1"/>
    </xf>
    <xf numFmtId="0" fontId="3" fillId="3" borderId="16" xfId="50" applyFont="1" applyFill="1" applyBorder="1" applyAlignment="1">
      <alignment horizontal="left" vertical="top" wrapText="1"/>
    </xf>
    <xf numFmtId="0" fontId="3" fillId="3" borderId="17" xfId="50" applyFont="1" applyFill="1" applyBorder="1" applyAlignment="1">
      <alignment horizontal="left" vertical="top" wrapText="1"/>
    </xf>
    <xf numFmtId="0" fontId="3" fillId="3" borderId="15" xfId="50" applyFont="1" applyFill="1" applyBorder="1" applyAlignment="1">
      <alignment horizontal="left" vertical="center" wrapText="1"/>
    </xf>
    <xf numFmtId="0" fontId="3" fillId="3" borderId="16" xfId="50" applyFont="1" applyFill="1" applyBorder="1" applyAlignment="1">
      <alignment horizontal="left" vertical="center" wrapText="1"/>
    </xf>
    <xf numFmtId="0" fontId="3" fillId="3" borderId="17" xfId="50" applyFont="1" applyFill="1" applyBorder="1" applyAlignment="1">
      <alignment horizontal="left" vertical="center" wrapText="1"/>
    </xf>
    <xf numFmtId="0" fontId="3" fillId="3" borderId="0" xfId="50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8" fillId="3" borderId="0" xfId="0" applyFont="1" applyFill="1" applyAlignment="1">
      <alignment vertical="center" wrapText="1"/>
    </xf>
    <xf numFmtId="0" fontId="8" fillId="3" borderId="14" xfId="0" applyFont="1" applyFill="1" applyBorder="1" applyAlignment="1">
      <alignment horizontal="right"/>
    </xf>
    <xf numFmtId="0" fontId="8" fillId="3" borderId="18" xfId="0" applyFont="1" applyFill="1" applyBorder="1" applyAlignment="1">
      <alignment wrapText="1"/>
    </xf>
    <xf numFmtId="0" fontId="8" fillId="3" borderId="18" xfId="0" applyFont="1" applyFill="1" applyBorder="1" applyAlignment="1">
      <alignment horizontal="center" wrapText="1"/>
    </xf>
    <xf numFmtId="0" fontId="8" fillId="3" borderId="19" xfId="0" applyFont="1" applyFill="1" applyBorder="1" applyAlignment="1">
      <alignment horizontal="center" wrapText="1"/>
    </xf>
    <xf numFmtId="0" fontId="8" fillId="3" borderId="20" xfId="0" applyFont="1" applyFill="1" applyBorder="1" applyAlignment="1">
      <alignment horizontal="right"/>
    </xf>
    <xf numFmtId="0" fontId="8" fillId="3" borderId="21" xfId="0" applyFont="1" applyFill="1" applyBorder="1" applyAlignment="1">
      <alignment wrapText="1"/>
    </xf>
    <xf numFmtId="0" fontId="8" fillId="0" borderId="21" xfId="0" applyFont="1" applyBorder="1" applyAlignment="1">
      <alignment horizontal="center"/>
    </xf>
    <xf numFmtId="1" fontId="8" fillId="3" borderId="22" xfId="0" applyNumberFormat="1" applyFont="1" applyFill="1" applyBorder="1" applyAlignment="1">
      <alignment horizontal="center" wrapText="1"/>
    </xf>
    <xf numFmtId="1" fontId="8" fillId="3" borderId="0" xfId="0" applyNumberFormat="1" applyFont="1" applyFill="1" applyAlignment="1">
      <alignment horizontal="center" wrapText="1"/>
    </xf>
    <xf numFmtId="0" fontId="8" fillId="3" borderId="23" xfId="0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 wrapText="1"/>
    </xf>
    <xf numFmtId="0" fontId="4" fillId="4" borderId="25" xfId="50" applyFont="1" applyFill="1" applyBorder="1" applyAlignment="1">
      <alignment horizontal="center" vertical="center" wrapText="1"/>
    </xf>
    <xf numFmtId="0" fontId="4" fillId="4" borderId="25" xfId="50" applyFont="1" applyFill="1" applyBorder="1" applyAlignment="1">
      <alignment vertical="center" wrapText="1"/>
    </xf>
    <xf numFmtId="0" fontId="4" fillId="4" borderId="26" xfId="50" applyFont="1" applyFill="1" applyBorder="1" applyAlignment="1">
      <alignment horizontal="center" vertical="center" wrapText="1"/>
    </xf>
    <xf numFmtId="0" fontId="4" fillId="4" borderId="0" xfId="50" applyFont="1" applyFill="1" applyAlignment="1">
      <alignment horizontal="center" vertical="center" wrapText="1"/>
    </xf>
    <xf numFmtId="0" fontId="4" fillId="4" borderId="27" xfId="50" applyFont="1" applyFill="1" applyBorder="1" applyAlignment="1">
      <alignment horizontal="center" vertical="center" wrapText="1"/>
    </xf>
    <xf numFmtId="0" fontId="4" fillId="4" borderId="28" xfId="50" applyFont="1" applyFill="1" applyBorder="1" applyAlignment="1">
      <alignment horizontal="center" vertical="center" wrapText="1"/>
    </xf>
    <xf numFmtId="0" fontId="4" fillId="4" borderId="29" xfId="50" applyFont="1" applyFill="1" applyBorder="1" applyAlignment="1">
      <alignment horizontal="center" vertical="center" wrapText="1"/>
    </xf>
    <xf numFmtId="0" fontId="10" fillId="3" borderId="0" xfId="0" applyFont="1" applyFill="1"/>
    <xf numFmtId="0" fontId="4" fillId="4" borderId="18" xfId="50" applyFont="1" applyFill="1" applyBorder="1" applyAlignment="1">
      <alignment horizontal="center" vertical="center" wrapText="1"/>
    </xf>
    <xf numFmtId="0" fontId="4" fillId="4" borderId="18" xfId="50" applyFont="1" applyFill="1" applyBorder="1" applyAlignment="1">
      <alignment vertical="center" wrapText="1"/>
    </xf>
    <xf numFmtId="0" fontId="4" fillId="4" borderId="30" xfId="50" applyFont="1" applyFill="1" applyBorder="1" applyAlignment="1">
      <alignment horizontal="center" vertical="center" wrapText="1"/>
    </xf>
    <xf numFmtId="0" fontId="4" fillId="4" borderId="24" xfId="50" applyFont="1" applyFill="1" applyBorder="1" applyAlignment="1">
      <alignment horizontal="center" vertical="center" wrapText="1"/>
    </xf>
    <xf numFmtId="0" fontId="4" fillId="4" borderId="31" xfId="50" applyFont="1" applyFill="1" applyBorder="1" applyAlignment="1">
      <alignment horizontal="center" vertical="center" wrapText="1"/>
    </xf>
    <xf numFmtId="0" fontId="12" fillId="5" borderId="16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3" fillId="6" borderId="15" xfId="50" applyFont="1" applyFill="1" applyBorder="1" applyAlignment="1">
      <alignment horizontal="left" vertical="center" wrapText="1"/>
    </xf>
    <xf numFmtId="0" fontId="13" fillId="6" borderId="16" xfId="50" applyFont="1" applyFill="1" applyBorder="1" applyAlignment="1">
      <alignment horizontal="left" vertical="center" wrapText="1"/>
    </xf>
    <xf numFmtId="0" fontId="13" fillId="6" borderId="32" xfId="50" applyFont="1" applyFill="1" applyBorder="1" applyAlignment="1">
      <alignment horizontal="left" vertical="center" wrapText="1"/>
    </xf>
    <xf numFmtId="179" fontId="8" fillId="0" borderId="18" xfId="0" applyNumberFormat="1" applyFont="1" applyBorder="1" applyAlignment="1">
      <alignment horizontal="left" vertical="top" wrapText="1"/>
    </xf>
    <xf numFmtId="0" fontId="8" fillId="0" borderId="18" xfId="0" applyFont="1" applyBorder="1" applyAlignment="1">
      <alignment vertical="top" wrapText="1"/>
    </xf>
    <xf numFmtId="0" fontId="8" fillId="0" borderId="18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16" xfId="0" applyFont="1" applyBorder="1" applyAlignment="1">
      <alignment horizontal="left" vertical="top" wrapText="1"/>
    </xf>
    <xf numFmtId="0" fontId="8" fillId="0" borderId="32" xfId="0" applyFont="1" applyBorder="1" applyAlignment="1">
      <alignment horizontal="left" vertical="top" wrapText="1"/>
    </xf>
    <xf numFmtId="0" fontId="14" fillId="0" borderId="16" xfId="6" applyFont="1" applyBorder="1" applyAlignment="1">
      <alignment horizontal="left" vertical="top" wrapText="1"/>
    </xf>
    <xf numFmtId="0" fontId="15" fillId="0" borderId="15" xfId="0" applyFont="1" applyBorder="1" applyAlignment="1">
      <alignment horizontal="left" vertical="top" wrapText="1"/>
    </xf>
    <xf numFmtId="0" fontId="16" fillId="0" borderId="16" xfId="6" applyBorder="1" applyAlignment="1">
      <alignment horizontal="left" vertical="top" wrapText="1"/>
    </xf>
    <xf numFmtId="0" fontId="13" fillId="6" borderId="15" xfId="50" applyFont="1" applyFill="1" applyBorder="1" applyAlignment="1">
      <alignment vertical="center" wrapText="1"/>
    </xf>
    <xf numFmtId="0" fontId="13" fillId="6" borderId="16" xfId="50" applyFont="1" applyFill="1" applyBorder="1" applyAlignment="1">
      <alignment vertical="center" wrapText="1"/>
    </xf>
    <xf numFmtId="0" fontId="17" fillId="0" borderId="29" xfId="0" applyFont="1" applyBorder="1" applyAlignment="1">
      <alignment horizontal="center" vertical="top" wrapText="1"/>
    </xf>
    <xf numFmtId="0" fontId="8" fillId="0" borderId="29" xfId="0" applyFont="1" applyBorder="1" applyAlignment="1">
      <alignment horizontal="left" vertical="top" wrapText="1"/>
    </xf>
    <xf numFmtId="0" fontId="18" fillId="0" borderId="15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center" vertical="top" wrapText="1"/>
    </xf>
    <xf numFmtId="0" fontId="17" fillId="0" borderId="15" xfId="0" applyFont="1" applyBorder="1" applyAlignment="1">
      <alignment horizontal="left" vertical="top" wrapText="1"/>
    </xf>
    <xf numFmtId="0" fontId="13" fillId="0" borderId="16" xfId="0" applyFont="1" applyBorder="1" applyAlignment="1">
      <alignment horizontal="left" vertical="top" wrapText="1"/>
    </xf>
    <xf numFmtId="0" fontId="1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9" fillId="0" borderId="0" xfId="0" applyFont="1"/>
    <xf numFmtId="0" fontId="19" fillId="3" borderId="0" xfId="0" applyFont="1" applyFill="1"/>
    <xf numFmtId="0" fontId="1" fillId="3" borderId="0" xfId="0" applyFont="1" applyFill="1"/>
    <xf numFmtId="0" fontId="20" fillId="3" borderId="0" xfId="0" applyFont="1" applyFill="1"/>
    <xf numFmtId="0" fontId="3" fillId="3" borderId="0" xfId="0" applyFont="1" applyFill="1" applyAlignment="1">
      <alignment horizontal="left"/>
    </xf>
    <xf numFmtId="0" fontId="3" fillId="3" borderId="0" xfId="0" applyFont="1" applyFill="1"/>
    <xf numFmtId="15" fontId="3" fillId="0" borderId="0" xfId="0" applyNumberFormat="1" applyFont="1" applyAlignment="1">
      <alignment horizontal="left"/>
    </xf>
    <xf numFmtId="0" fontId="20" fillId="0" borderId="0" xfId="0" applyFont="1"/>
    <xf numFmtId="178" fontId="4" fillId="2" borderId="2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33" xfId="0" applyFont="1" applyFill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5" fontId="3" fillId="0" borderId="5" xfId="0" applyNumberFormat="1" applyFont="1" applyBorder="1" applyAlignment="1">
      <alignment horizontal="left" vertical="center"/>
    </xf>
    <xf numFmtId="15" fontId="3" fillId="0" borderId="5" xfId="0" applyNumberFormat="1" applyFont="1" applyBorder="1" applyAlignment="1">
      <alignment horizontal="center" vertical="center"/>
    </xf>
    <xf numFmtId="0" fontId="3" fillId="0" borderId="34" xfId="0" applyFont="1" applyBorder="1" applyAlignment="1">
      <alignment horizontal="left" vertical="center" wrapText="1"/>
    </xf>
    <xf numFmtId="0" fontId="3" fillId="0" borderId="6" xfId="0" applyFont="1" applyBorder="1" applyAlignment="1">
      <alignment vertical="center" wrapText="1"/>
    </xf>
    <xf numFmtId="15" fontId="3" fillId="0" borderId="5" xfId="0" applyNumberFormat="1" applyFont="1" applyBorder="1" applyAlignment="1">
      <alignment horizontal="center" vertical="center" wrapText="1"/>
    </xf>
    <xf numFmtId="178" fontId="3" fillId="0" borderId="1" xfId="0" applyNumberFormat="1" applyFont="1" applyBorder="1" applyAlignment="1">
      <alignment vertical="center"/>
    </xf>
    <xf numFmtId="49" fontId="3" fillId="0" borderId="5" xfId="0" applyNumberFormat="1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19" fillId="0" borderId="6" xfId="0" applyFont="1" applyBorder="1" applyAlignment="1">
      <alignment vertical="center"/>
    </xf>
    <xf numFmtId="178" fontId="3" fillId="0" borderId="7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_Vanco_CR022a1_TestCase_v0.1" xfId="50"/>
    <cellStyle name="標準_結合試験(AllOvertheWorld)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osdc-nt2\osdc\Documents%20and%20Settings\ThoanCT\My%20Documents\Copy%20of%20DataLoadSheet9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Data"/>
      <sheetName val="Validation"/>
    </sheetNames>
    <sheetDataSet>
      <sheetData sheetId="0" refreshError="1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drive.google.com/file/d/1G-32WKdcFfLUA3Qk6Apts87UDTQTKwIt/view?usp=drive_link" TargetMode="External"/><Relationship Id="rId8" Type="http://schemas.openxmlformats.org/officeDocument/2006/relationships/hyperlink" Target="https://drive.google.com/file/d/1HUYRVMPIXtkJuuGPz-BhJzODsbAZ_rny/view?usp=drive_link&#10;" TargetMode="External"/><Relationship Id="rId7" Type="http://schemas.openxmlformats.org/officeDocument/2006/relationships/hyperlink" Target="https://drive.google.com/file/d/1NuH-hF1lRdO4lGz5uBX4Jf4WNxfiL1zS/view?usp=drive_link" TargetMode="External"/><Relationship Id="rId6" Type="http://schemas.openxmlformats.org/officeDocument/2006/relationships/hyperlink" Target="https://drive.google.com/file/d/1sC7uoWduAGtV798fP10EkN3y1evFWiuw/view?usp=drive_link" TargetMode="External"/><Relationship Id="rId5" Type="http://schemas.openxmlformats.org/officeDocument/2006/relationships/hyperlink" Target="https://drive.google.com/file/d/1q9UY_TfuHmCtTCltBM9FxPoMnY5xwH-w/view?usp=drive_link" TargetMode="External"/><Relationship Id="rId4" Type="http://schemas.openxmlformats.org/officeDocument/2006/relationships/hyperlink" Target="https://drive.google.com/file/d/1VbLmz5roaIuW_SLEpx1WfNPwx5AYmqzt/view?usp=drive_link" TargetMode="External"/><Relationship Id="rId3" Type="http://schemas.openxmlformats.org/officeDocument/2006/relationships/hyperlink" Target="https://drive.google.com/file/d/1niwQDdoWN2MRGoG8EWSAIo20_OzsVkOY/view?usp=drive_link" TargetMode="External"/><Relationship Id="rId2" Type="http://schemas.openxmlformats.org/officeDocument/2006/relationships/hyperlink" Target="https://drive.google.com/file/d/1YxMoTTiECsI_tBz-761YVEUxJUHXLvsx/view?usp=drive_link" TargetMode="External"/><Relationship Id="rId12" Type="http://schemas.openxmlformats.org/officeDocument/2006/relationships/hyperlink" Target="https://drive.google.com/file/d/1vLbyAL-HJxN9APoBnFixaED75UrkKheT/view?usp=drive_link" TargetMode="External"/><Relationship Id="rId11" Type="http://schemas.openxmlformats.org/officeDocument/2006/relationships/hyperlink" Target="https://drive.google.com/file/d/18sZ2vd6dYr7e3CG3oArjQHlB0xO-bk0B/view?usp=drive_link" TargetMode="External"/><Relationship Id="rId10" Type="http://schemas.openxmlformats.org/officeDocument/2006/relationships/hyperlink" Target="https://drive.google.com/file/d/1XJbuS6EqFzK0sjIHk-xN0SebkRtdl60S/view?usp=drive_link" TargetMode="External"/><Relationship Id="rId1" Type="http://schemas.openxmlformats.org/officeDocument/2006/relationships/hyperlink" Target="https://drive.google.com/file/d/1gumPUHQBLb1jIHBCZ5zPISjpcIOSB2lk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23"/>
  <sheetViews>
    <sheetView showGridLines="0" tabSelected="1" workbookViewId="0">
      <selection activeCell="M12" sqref="M12"/>
    </sheetView>
  </sheetViews>
  <sheetFormatPr defaultColWidth="9" defaultRowHeight="14" outlineLevelCol="7"/>
  <cols>
    <col min="1" max="1" width="9" style="108"/>
    <col min="2" max="2" width="14.1636363636364" style="108" customWidth="1"/>
    <col min="3" max="3" width="9" style="108"/>
    <col min="4" max="4" width="15" style="108" customWidth="1"/>
    <col min="5" max="5" width="32.5" style="108" customWidth="1"/>
    <col min="6" max="6" width="23.8363636363636" style="108" customWidth="1"/>
    <col min="7" max="7" width="20.5" style="108" customWidth="1"/>
    <col min="8" max="8" width="26.6636363636364" style="108" customWidth="1"/>
    <col min="9" max="16384" width="9" style="108"/>
  </cols>
  <sheetData>
    <row r="2" ht="22" spans="1:8">
      <c r="A2" s="109"/>
      <c r="B2" s="110" t="s">
        <v>0</v>
      </c>
      <c r="C2" s="109"/>
      <c r="D2" s="109"/>
      <c r="E2" s="109"/>
      <c r="F2" s="109"/>
      <c r="G2" s="109"/>
    </row>
    <row r="3" spans="1:8">
      <c r="A3" s="109"/>
      <c r="B3" s="111" t="s">
        <v>1</v>
      </c>
      <c r="C3" s="112">
        <v>1</v>
      </c>
      <c r="D3" s="113"/>
      <c r="E3" s="109"/>
      <c r="F3" s="109"/>
      <c r="G3" s="109"/>
    </row>
    <row r="4" spans="1:8">
      <c r="A4" s="109"/>
      <c r="B4" s="111" t="s">
        <v>2</v>
      </c>
      <c r="C4" s="114" t="s">
        <v>3</v>
      </c>
      <c r="D4" s="114"/>
      <c r="E4" s="109"/>
      <c r="F4" s="109"/>
      <c r="G4" s="109"/>
    </row>
    <row r="5" ht="14.75" spans="1:8">
      <c r="A5" s="109"/>
      <c r="B5" s="111"/>
      <c r="C5" s="113"/>
      <c r="D5" s="113"/>
      <c r="E5" s="109"/>
      <c r="F5" s="109"/>
      <c r="G5" s="109"/>
    </row>
    <row r="6" ht="14.25" customHeight="1" spans="1:8">
      <c r="A6" s="109"/>
      <c r="B6" s="111" t="s">
        <v>4</v>
      </c>
      <c r="C6" s="45" t="s">
        <v>5</v>
      </c>
      <c r="D6" s="45"/>
      <c r="E6" s="46"/>
      <c r="F6" s="109"/>
      <c r="G6" s="109"/>
    </row>
    <row r="7" spans="1:8">
      <c r="A7" s="109"/>
      <c r="B7" s="111" t="s">
        <v>6</v>
      </c>
      <c r="C7" s="45" t="s">
        <v>7</v>
      </c>
      <c r="D7" s="45"/>
      <c r="E7" s="46"/>
      <c r="F7" s="109"/>
      <c r="G7" s="109"/>
    </row>
    <row r="8" spans="1:8">
      <c r="A8" s="109"/>
      <c r="B8" s="111"/>
      <c r="C8" s="109"/>
      <c r="D8" s="109"/>
      <c r="E8" s="109"/>
      <c r="F8" s="109"/>
      <c r="G8" s="109"/>
    </row>
    <row r="9" spans="1:8">
      <c r="A9" s="109"/>
      <c r="B9" s="6"/>
      <c r="C9" s="6"/>
      <c r="D9" s="6"/>
      <c r="E9" s="6"/>
      <c r="F9" s="109"/>
      <c r="G9" s="109"/>
    </row>
    <row r="10" spans="1:8">
      <c r="B10" s="115" t="s">
        <v>8</v>
      </c>
    </row>
    <row r="11" s="106" customFormat="1" ht="25" spans="1:8">
      <c r="B11" s="116" t="s">
        <v>9</v>
      </c>
      <c r="C11" s="117" t="s">
        <v>10</v>
      </c>
      <c r="D11" s="117" t="s">
        <v>11</v>
      </c>
      <c r="E11" s="117" t="s">
        <v>12</v>
      </c>
      <c r="F11" s="117" t="s">
        <v>13</v>
      </c>
      <c r="G11" s="118" t="s">
        <v>14</v>
      </c>
      <c r="H11" s="119" t="s">
        <v>15</v>
      </c>
    </row>
    <row r="12" s="106" customFormat="1" ht="25" spans="1:8">
      <c r="B12" s="120">
        <v>39293</v>
      </c>
      <c r="C12" s="121" t="s">
        <v>16</v>
      </c>
      <c r="D12" s="122"/>
      <c r="E12" s="123" t="s">
        <v>17</v>
      </c>
      <c r="F12" s="124" t="s">
        <v>18</v>
      </c>
      <c r="G12" s="125"/>
      <c r="H12" s="126" t="s">
        <v>19</v>
      </c>
    </row>
    <row r="13" s="106" customFormat="1" ht="13" spans="1:8">
      <c r="B13" s="7"/>
      <c r="C13" s="121"/>
      <c r="D13" s="122"/>
      <c r="E13" s="123"/>
      <c r="F13" s="124"/>
      <c r="G13" s="127"/>
      <c r="H13" s="126"/>
    </row>
    <row r="14" s="107" customFormat="1" ht="12.5" spans="1:8">
      <c r="B14" s="120"/>
      <c r="C14" s="121"/>
      <c r="D14" s="122"/>
      <c r="E14" s="123"/>
      <c r="F14" s="124"/>
      <c r="G14" s="127"/>
      <c r="H14" s="126"/>
    </row>
    <row r="15" s="107" customFormat="1" ht="12.5" spans="1:8">
      <c r="B15" s="128"/>
      <c r="C15" s="129"/>
      <c r="D15" s="130"/>
      <c r="E15" s="130"/>
      <c r="F15" s="130"/>
      <c r="G15" s="130"/>
      <c r="H15" s="131"/>
    </row>
    <row r="16" s="106" customFormat="1" spans="1:8">
      <c r="B16" s="120"/>
      <c r="C16" s="121"/>
      <c r="D16" s="122"/>
      <c r="E16" s="130"/>
      <c r="F16" s="130"/>
      <c r="G16" s="130"/>
      <c r="H16" s="132"/>
    </row>
    <row r="17" s="106" customFormat="1" spans="2:8">
      <c r="B17" s="128"/>
      <c r="C17" s="129"/>
      <c r="D17" s="130"/>
      <c r="E17" s="130"/>
      <c r="F17" s="130"/>
      <c r="G17" s="130"/>
      <c r="H17" s="131"/>
    </row>
    <row r="18" s="106" customFormat="1" spans="2:8">
      <c r="B18" s="128"/>
      <c r="C18" s="129"/>
      <c r="D18" s="130"/>
      <c r="E18" s="130"/>
      <c r="F18" s="130"/>
      <c r="G18" s="130"/>
      <c r="H18" s="131"/>
    </row>
    <row r="19" s="106" customFormat="1" spans="2:8">
      <c r="B19" s="128"/>
      <c r="C19" s="129"/>
      <c r="D19" s="130"/>
      <c r="E19" s="130"/>
      <c r="F19" s="130"/>
      <c r="G19" s="130"/>
      <c r="H19" s="131"/>
    </row>
    <row r="20" s="106" customFormat="1" spans="2:8">
      <c r="B20" s="128"/>
      <c r="C20" s="129"/>
      <c r="D20" s="130"/>
      <c r="E20" s="130"/>
      <c r="F20" s="130"/>
      <c r="G20" s="130"/>
      <c r="H20" s="131"/>
    </row>
    <row r="21" s="106" customFormat="1" spans="2:8">
      <c r="B21" s="128"/>
      <c r="C21" s="129"/>
      <c r="D21" s="130"/>
      <c r="E21" s="130"/>
      <c r="F21" s="130"/>
      <c r="G21" s="130"/>
      <c r="H21" s="131"/>
    </row>
    <row r="22" s="106" customFormat="1" spans="2:8">
      <c r="B22" s="128"/>
      <c r="C22" s="129"/>
      <c r="D22" s="130"/>
      <c r="E22" s="130"/>
      <c r="F22" s="130"/>
      <c r="G22" s="130"/>
      <c r="H22" s="131"/>
    </row>
    <row r="23" s="106" customFormat="1" spans="2:8">
      <c r="B23" s="133"/>
      <c r="C23" s="134"/>
      <c r="D23" s="135"/>
      <c r="E23" s="135"/>
      <c r="F23" s="135"/>
      <c r="G23" s="135"/>
      <c r="H23" s="136"/>
    </row>
  </sheetData>
  <mergeCells count="2">
    <mergeCell ref="C6:E6"/>
    <mergeCell ref="C7:E7"/>
  </mergeCells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77"/>
  <sheetViews>
    <sheetView topLeftCell="A31" workbookViewId="0">
      <selection activeCell="D32" sqref="D32:F32"/>
    </sheetView>
  </sheetViews>
  <sheetFormatPr defaultColWidth="8.83636363636364" defaultRowHeight="13"/>
  <cols>
    <col min="1" max="1" width="15.6636363636364" customWidth="1"/>
    <col min="2" max="2" width="18.1636363636364" customWidth="1"/>
    <col min="3" max="3" width="42.1636363636364" customWidth="1"/>
    <col min="6" max="6" width="23.6636363636364" customWidth="1"/>
    <col min="7" max="7" width="18.5" hidden="1" customWidth="1"/>
    <col min="8" max="8" width="83.1818181818182" customWidth="1"/>
    <col min="9" max="9" width="17.1636363636364" customWidth="1"/>
    <col min="10" max="10" width="9" style="36"/>
    <col min="11" max="11" width="18" style="37" customWidth="1"/>
  </cols>
  <sheetData>
    <row r="1" s="30" customFormat="1" ht="12.75" customHeight="1" spans="1:12">
      <c r="A1" s="38" t="s">
        <v>0</v>
      </c>
      <c r="B1" s="39"/>
      <c r="C1" s="39"/>
      <c r="D1" s="39"/>
      <c r="E1" s="40"/>
      <c r="F1" s="40"/>
      <c r="G1" s="40"/>
      <c r="H1" s="40"/>
      <c r="I1" s="40"/>
      <c r="J1" s="41"/>
      <c r="K1" s="40"/>
      <c r="L1" s="42"/>
    </row>
    <row r="2" s="30" customFormat="1" ht="11.25" customHeight="1" spans="1:12">
      <c r="A2" s="42"/>
      <c r="B2" s="43"/>
      <c r="C2" s="43"/>
      <c r="D2" s="43"/>
      <c r="E2" s="40"/>
      <c r="F2" s="40"/>
      <c r="G2" s="40"/>
      <c r="H2" s="40"/>
      <c r="I2" s="40"/>
      <c r="J2" s="41"/>
      <c r="K2" s="40"/>
      <c r="L2" s="42"/>
    </row>
    <row r="3" s="31" customFormat="1" ht="15" customHeight="1" spans="1:12">
      <c r="A3" s="44" t="s">
        <v>20</v>
      </c>
      <c r="B3" s="45" t="s">
        <v>5</v>
      </c>
      <c r="C3" s="45"/>
      <c r="D3" s="46"/>
      <c r="E3" s="47"/>
      <c r="F3" s="47"/>
      <c r="G3" s="47"/>
      <c r="H3" s="47"/>
      <c r="I3" s="48"/>
      <c r="J3" s="48"/>
      <c r="K3" s="48"/>
      <c r="L3" s="49"/>
    </row>
    <row r="4" s="31" customFormat="1" ht="12.5" spans="1:12">
      <c r="A4" s="50" t="s">
        <v>21</v>
      </c>
      <c r="B4" s="51" t="s">
        <v>22</v>
      </c>
      <c r="C4" s="52"/>
      <c r="D4" s="53"/>
      <c r="E4" s="47"/>
      <c r="F4" s="47"/>
      <c r="G4" s="47"/>
      <c r="H4" s="47"/>
      <c r="I4" s="48"/>
      <c r="J4" s="48"/>
      <c r="K4" s="48"/>
      <c r="L4" s="49"/>
    </row>
    <row r="5" s="32" customFormat="1" ht="25" spans="1:12">
      <c r="A5" s="50" t="s">
        <v>23</v>
      </c>
      <c r="B5" s="54" t="s">
        <v>24</v>
      </c>
      <c r="C5" s="55"/>
      <c r="D5" s="56"/>
      <c r="E5" s="57"/>
      <c r="F5" s="57"/>
      <c r="G5" s="57"/>
      <c r="H5" s="57"/>
      <c r="I5" s="58"/>
      <c r="J5" s="58"/>
      <c r="K5" s="58"/>
      <c r="L5" s="59"/>
    </row>
    <row r="6" s="31" customFormat="1" ht="15" customHeight="1" spans="1:12">
      <c r="A6" s="60" t="s">
        <v>25</v>
      </c>
      <c r="B6" s="61">
        <f>COUNTIF(J12:J41,"Pass")</f>
        <v>26</v>
      </c>
      <c r="C6" s="62" t="s">
        <v>26</v>
      </c>
      <c r="D6" s="63">
        <f>COUNTIF(J10:J758,"Pending")</f>
        <v>0</v>
      </c>
      <c r="E6" s="48"/>
      <c r="F6" s="48"/>
      <c r="G6" s="48"/>
      <c r="H6" s="48"/>
      <c r="I6" s="48"/>
      <c r="J6" s="48"/>
      <c r="K6" s="48"/>
      <c r="L6" s="49"/>
    </row>
    <row r="7" s="31" customFormat="1" ht="15" customHeight="1" spans="1:12">
      <c r="A7" s="64" t="s">
        <v>27</v>
      </c>
      <c r="B7" s="65">
        <f>COUNTIF(J12:J29,"Fail")</f>
        <v>0</v>
      </c>
      <c r="C7" s="66" t="s">
        <v>28</v>
      </c>
      <c r="D7" s="67">
        <f>COUNTA(A12:A41)-4</f>
        <v>26</v>
      </c>
      <c r="E7" s="68"/>
      <c r="F7" s="68"/>
      <c r="G7" s="68"/>
      <c r="H7" s="68"/>
      <c r="I7" s="48"/>
      <c r="J7" s="48"/>
      <c r="K7" s="48"/>
      <c r="L7" s="49"/>
    </row>
    <row r="8" s="31" customFormat="1" ht="15" customHeight="1" spans="1:12">
      <c r="A8" s="69"/>
      <c r="B8" s="69"/>
      <c r="C8" s="69"/>
      <c r="D8" s="69"/>
      <c r="E8" s="48"/>
      <c r="F8" s="48"/>
      <c r="G8" s="48"/>
      <c r="H8" s="48"/>
      <c r="I8" s="48"/>
      <c r="J8" s="70"/>
      <c r="K8" s="70"/>
      <c r="L8" s="49"/>
    </row>
    <row r="9" s="33" customFormat="1" ht="12" customHeight="1" spans="1:12">
      <c r="A9" s="71" t="s">
        <v>29</v>
      </c>
      <c r="B9" s="72" t="s">
        <v>30</v>
      </c>
      <c r="C9" s="71" t="s">
        <v>31</v>
      </c>
      <c r="D9" s="73" t="s">
        <v>32</v>
      </c>
      <c r="E9" s="74"/>
      <c r="F9" s="74"/>
      <c r="G9" s="75"/>
      <c r="H9" s="76" t="s">
        <v>33</v>
      </c>
      <c r="I9" s="77" t="s">
        <v>34</v>
      </c>
      <c r="J9" s="77" t="s">
        <v>35</v>
      </c>
      <c r="K9" s="77" t="s">
        <v>36</v>
      </c>
      <c r="L9" s="78"/>
    </row>
    <row r="10" s="31" customFormat="1" ht="12" customHeight="1" spans="1:12">
      <c r="A10" s="79"/>
      <c r="B10" s="80"/>
      <c r="C10" s="79"/>
      <c r="D10" s="81"/>
      <c r="E10" s="82"/>
      <c r="F10" s="82"/>
      <c r="G10" s="83"/>
      <c r="H10" s="71"/>
      <c r="I10" s="71"/>
      <c r="J10" s="71"/>
      <c r="K10" s="71"/>
      <c r="L10" s="49"/>
    </row>
    <row r="11" s="34" customFormat="1" ht="15" spans="1:12">
      <c r="A11" s="84"/>
      <c r="B11" s="84"/>
      <c r="C11" s="84"/>
      <c r="D11" s="84"/>
      <c r="E11" s="84"/>
      <c r="F11" s="84"/>
      <c r="G11" s="84"/>
      <c r="H11" s="84"/>
      <c r="I11" s="84"/>
      <c r="J11" s="84"/>
      <c r="K11" s="85"/>
    </row>
    <row r="12" s="35" customFormat="1" ht="12.5" spans="1:12">
      <c r="A12" s="86" t="s">
        <v>37</v>
      </c>
      <c r="B12" s="87"/>
      <c r="C12" s="87"/>
      <c r="D12" s="87"/>
      <c r="E12" s="87"/>
      <c r="F12" s="87"/>
      <c r="G12" s="87"/>
      <c r="H12" s="87"/>
      <c r="I12" s="87"/>
      <c r="J12" s="87"/>
      <c r="K12" s="88"/>
    </row>
    <row r="13" s="35" customFormat="1" ht="94" customHeight="1" outlineLevel="1" spans="1:12">
      <c r="A13" s="89" t="s">
        <v>38</v>
      </c>
      <c r="B13" s="90" t="s">
        <v>39</v>
      </c>
      <c r="C13" s="91" t="s">
        <v>40</v>
      </c>
      <c r="D13" s="92" t="s">
        <v>41</v>
      </c>
      <c r="E13" s="93"/>
      <c r="F13" s="93"/>
      <c r="G13" s="94"/>
      <c r="H13" s="95" t="s">
        <v>42</v>
      </c>
      <c r="I13" s="96" t="s">
        <v>43</v>
      </c>
      <c r="J13" s="91" t="s">
        <v>25</v>
      </c>
      <c r="K13" s="91"/>
    </row>
    <row r="14" s="35" customFormat="1" ht="94" customHeight="1" outlineLevel="1" spans="1:12">
      <c r="A14" s="89" t="s">
        <v>44</v>
      </c>
      <c r="B14" s="90" t="s">
        <v>45</v>
      </c>
      <c r="C14" s="91" t="s">
        <v>46</v>
      </c>
      <c r="D14" s="92" t="s">
        <v>47</v>
      </c>
      <c r="E14" s="93"/>
      <c r="F14" s="93"/>
      <c r="G14" s="94"/>
      <c r="H14" s="95" t="s">
        <v>48</v>
      </c>
      <c r="I14" s="96" t="s">
        <v>43</v>
      </c>
      <c r="J14" s="91" t="s">
        <v>25</v>
      </c>
      <c r="K14" s="91"/>
    </row>
    <row r="15" s="35" customFormat="1" ht="94" customHeight="1" outlineLevel="1" spans="1:12">
      <c r="A15" s="89" t="s">
        <v>49</v>
      </c>
      <c r="B15" s="90" t="s">
        <v>50</v>
      </c>
      <c r="C15" s="91" t="s">
        <v>51</v>
      </c>
      <c r="D15" s="92" t="s">
        <v>52</v>
      </c>
      <c r="E15" s="93"/>
      <c r="F15" s="93"/>
      <c r="G15" s="94"/>
      <c r="H15" s="95" t="s">
        <v>53</v>
      </c>
      <c r="I15" s="96" t="s">
        <v>43</v>
      </c>
      <c r="J15" s="91" t="s">
        <v>25</v>
      </c>
      <c r="K15" s="91"/>
    </row>
    <row r="16" s="35" customFormat="1" ht="94" customHeight="1" outlineLevel="1" spans="1:12">
      <c r="A16" s="89" t="s">
        <v>54</v>
      </c>
      <c r="B16" s="90" t="s">
        <v>55</v>
      </c>
      <c r="C16" s="91" t="s">
        <v>56</v>
      </c>
      <c r="D16" s="92" t="s">
        <v>57</v>
      </c>
      <c r="E16" s="93"/>
      <c r="F16" s="93"/>
      <c r="G16" s="94"/>
      <c r="H16" s="95" t="s">
        <v>58</v>
      </c>
      <c r="I16" s="96" t="s">
        <v>43</v>
      </c>
      <c r="J16" s="91" t="s">
        <v>25</v>
      </c>
      <c r="K16" s="91"/>
    </row>
    <row r="17" s="35" customFormat="1" ht="94" customHeight="1" outlineLevel="1" spans="1:11">
      <c r="A17" s="89" t="s">
        <v>59</v>
      </c>
      <c r="B17" s="90" t="s">
        <v>60</v>
      </c>
      <c r="C17" s="91" t="s">
        <v>61</v>
      </c>
      <c r="D17" s="92" t="s">
        <v>62</v>
      </c>
      <c r="E17" s="93"/>
      <c r="F17" s="93"/>
      <c r="G17" s="94"/>
      <c r="H17" s="97" t="s">
        <v>63</v>
      </c>
      <c r="I17" s="96" t="s">
        <v>43</v>
      </c>
      <c r="J17" s="91" t="s">
        <v>25</v>
      </c>
      <c r="K17" s="91"/>
    </row>
    <row r="18" s="35" customFormat="1" ht="94" customHeight="1" outlineLevel="1" spans="1:11">
      <c r="A18" s="89" t="s">
        <v>64</v>
      </c>
      <c r="B18" s="90" t="s">
        <v>65</v>
      </c>
      <c r="C18" s="91" t="s">
        <v>66</v>
      </c>
      <c r="D18" s="92" t="s">
        <v>67</v>
      </c>
      <c r="E18" s="93"/>
      <c r="F18" s="93"/>
      <c r="G18" s="94"/>
      <c r="H18" s="95" t="s">
        <v>68</v>
      </c>
      <c r="I18" s="96" t="s">
        <v>43</v>
      </c>
      <c r="J18" s="91" t="s">
        <v>25</v>
      </c>
      <c r="K18" s="91"/>
    </row>
    <row r="19" s="35" customFormat="1" ht="94" customHeight="1" outlineLevel="1" spans="1:11">
      <c r="A19" s="89" t="s">
        <v>69</v>
      </c>
      <c r="B19" s="90" t="s">
        <v>70</v>
      </c>
      <c r="C19" s="91" t="s">
        <v>71</v>
      </c>
      <c r="D19" s="92" t="s">
        <v>72</v>
      </c>
      <c r="E19" s="93"/>
      <c r="F19" s="93"/>
      <c r="G19" s="94"/>
      <c r="H19" s="97" t="s">
        <v>73</v>
      </c>
      <c r="I19" s="96" t="s">
        <v>43</v>
      </c>
      <c r="J19" s="91" t="s">
        <v>25</v>
      </c>
      <c r="K19" s="91"/>
    </row>
    <row r="20" s="35" customFormat="1" ht="94" customHeight="1" outlineLevel="1" spans="1:11">
      <c r="A20" s="89" t="s">
        <v>74</v>
      </c>
      <c r="B20" s="90" t="s">
        <v>75</v>
      </c>
      <c r="C20" s="91" t="s">
        <v>76</v>
      </c>
      <c r="D20" s="92" t="s">
        <v>77</v>
      </c>
      <c r="E20" s="93"/>
      <c r="F20" s="93"/>
      <c r="G20" s="94"/>
      <c r="H20" s="97" t="s">
        <v>78</v>
      </c>
      <c r="I20" s="96" t="s">
        <v>43</v>
      </c>
      <c r="J20" s="91" t="s">
        <v>25</v>
      </c>
      <c r="K20" s="91"/>
    </row>
    <row r="21" s="35" customFormat="1" ht="94" customHeight="1" outlineLevel="1" spans="1:11">
      <c r="A21" s="89" t="s">
        <v>79</v>
      </c>
      <c r="B21" s="90" t="s">
        <v>80</v>
      </c>
      <c r="C21" s="91" t="s">
        <v>81</v>
      </c>
      <c r="D21" s="92" t="s">
        <v>82</v>
      </c>
      <c r="E21" s="93"/>
      <c r="F21" s="93"/>
      <c r="G21" s="94"/>
      <c r="H21" s="97" t="s">
        <v>83</v>
      </c>
      <c r="I21" s="96" t="s">
        <v>43</v>
      </c>
      <c r="J21" s="91" t="s">
        <v>25</v>
      </c>
      <c r="K21" s="91"/>
    </row>
    <row r="22" s="35" customFormat="1" ht="12.5" outlineLevel="1" spans="1:11">
      <c r="A22" s="98" t="s">
        <v>84</v>
      </c>
      <c r="B22" s="99"/>
      <c r="C22" s="99"/>
      <c r="D22" s="87"/>
      <c r="E22" s="87"/>
      <c r="F22" s="87"/>
      <c r="G22" s="87"/>
      <c r="H22" s="87"/>
      <c r="I22" s="87"/>
      <c r="J22" s="87"/>
      <c r="K22" s="88"/>
    </row>
    <row r="23" s="35" customFormat="1" ht="63.75" customHeight="1" outlineLevel="1" spans="1:11">
      <c r="A23" s="89" t="s">
        <v>38</v>
      </c>
      <c r="B23" s="100" t="s">
        <v>85</v>
      </c>
      <c r="C23" s="101" t="s">
        <v>86</v>
      </c>
      <c r="D23" s="92" t="s">
        <v>87</v>
      </c>
      <c r="E23" s="93"/>
      <c r="F23" s="93"/>
      <c r="G23" s="94"/>
      <c r="H23" s="95" t="s">
        <v>88</v>
      </c>
      <c r="I23" s="102" t="s">
        <v>89</v>
      </c>
      <c r="J23" s="91" t="s">
        <v>25</v>
      </c>
      <c r="K23" s="91"/>
    </row>
    <row r="24" s="35" customFormat="1" ht="63.75" customHeight="1" outlineLevel="1" spans="1:11">
      <c r="A24" s="89" t="s">
        <v>44</v>
      </c>
      <c r="B24" s="100" t="s">
        <v>90</v>
      </c>
      <c r="C24" s="101" t="s">
        <v>91</v>
      </c>
      <c r="D24" s="92" t="s">
        <v>92</v>
      </c>
      <c r="E24" s="93"/>
      <c r="F24" s="93"/>
      <c r="G24" s="94"/>
      <c r="H24" s="95" t="s">
        <v>93</v>
      </c>
      <c r="I24" s="102" t="s">
        <v>89</v>
      </c>
      <c r="J24" s="91" t="s">
        <v>25</v>
      </c>
      <c r="K24" s="91"/>
    </row>
    <row r="25" s="35" customFormat="1" ht="63.75" customHeight="1" outlineLevel="1" spans="1:11">
      <c r="A25" s="89" t="s">
        <v>49</v>
      </c>
      <c r="B25" s="100" t="s">
        <v>94</v>
      </c>
      <c r="C25" s="101" t="s">
        <v>95</v>
      </c>
      <c r="D25" s="92" t="s">
        <v>96</v>
      </c>
      <c r="E25" s="93"/>
      <c r="F25" s="93"/>
      <c r="G25" s="94"/>
      <c r="H25" s="95" t="s">
        <v>97</v>
      </c>
      <c r="I25" s="102" t="s">
        <v>89</v>
      </c>
      <c r="J25" s="91" t="s">
        <v>25</v>
      </c>
      <c r="K25" s="91"/>
    </row>
    <row r="26" s="35" customFormat="1" ht="63.75" customHeight="1" outlineLevel="1" spans="1:11">
      <c r="A26" s="89" t="s">
        <v>54</v>
      </c>
      <c r="B26" s="100" t="s">
        <v>98</v>
      </c>
      <c r="C26" s="101" t="s">
        <v>99</v>
      </c>
      <c r="D26" s="92" t="s">
        <v>100</v>
      </c>
      <c r="E26" s="93"/>
      <c r="F26" s="93"/>
      <c r="G26" s="94"/>
      <c r="H26" s="95" t="s">
        <v>101</v>
      </c>
      <c r="I26" s="102" t="s">
        <v>89</v>
      </c>
      <c r="J26" s="91" t="s">
        <v>25</v>
      </c>
      <c r="K26" s="91"/>
    </row>
    <row r="27" s="35" customFormat="1" ht="63.75" customHeight="1" outlineLevel="1" spans="1:11">
      <c r="A27" s="89" t="s">
        <v>59</v>
      </c>
      <c r="B27" s="100" t="s">
        <v>102</v>
      </c>
      <c r="C27" s="101" t="s">
        <v>103</v>
      </c>
      <c r="D27" s="92" t="s">
        <v>104</v>
      </c>
      <c r="E27" s="93"/>
      <c r="F27" s="93"/>
      <c r="G27" s="94"/>
      <c r="H27" s="95" t="s">
        <v>105</v>
      </c>
      <c r="I27" s="102" t="s">
        <v>89</v>
      </c>
      <c r="J27" s="91" t="s">
        <v>25</v>
      </c>
      <c r="K27" s="91"/>
    </row>
    <row r="28" s="35" customFormat="1" ht="12.5" outlineLevel="1" spans="1:11">
      <c r="A28" s="98" t="s">
        <v>106</v>
      </c>
      <c r="B28" s="99"/>
      <c r="C28" s="99"/>
      <c r="D28" s="87"/>
      <c r="E28" s="87"/>
      <c r="F28" s="87"/>
      <c r="G28" s="87"/>
      <c r="H28" s="87"/>
      <c r="I28" s="87"/>
      <c r="J28" s="87"/>
      <c r="K28" s="88"/>
    </row>
    <row r="29" s="35" customFormat="1" ht="28" customHeight="1" outlineLevel="1" spans="1:11">
      <c r="A29" s="89" t="s">
        <v>38</v>
      </c>
      <c r="B29" s="103" t="s">
        <v>107</v>
      </c>
      <c r="C29" s="91" t="s">
        <v>108</v>
      </c>
      <c r="D29" s="92" t="s">
        <v>109</v>
      </c>
      <c r="E29" s="93"/>
      <c r="F29" s="93"/>
      <c r="G29" s="94"/>
      <c r="H29" s="97" t="s">
        <v>110</v>
      </c>
      <c r="I29" s="102" t="s">
        <v>89</v>
      </c>
      <c r="J29" s="91" t="s">
        <v>25</v>
      </c>
      <c r="K29" s="91"/>
    </row>
    <row r="30" s="35" customFormat="1" ht="42" customHeight="1" outlineLevel="1" spans="1:11">
      <c r="A30" s="89" t="s">
        <v>44</v>
      </c>
      <c r="B30" s="103" t="s">
        <v>111</v>
      </c>
      <c r="C30" s="91" t="s">
        <v>112</v>
      </c>
      <c r="D30" s="92" t="s">
        <v>113</v>
      </c>
      <c r="E30" s="93"/>
      <c r="F30" s="93"/>
      <c r="G30" s="94"/>
      <c r="H30" s="97" t="s">
        <v>114</v>
      </c>
      <c r="I30" s="102" t="s">
        <v>89</v>
      </c>
      <c r="J30" s="91" t="s">
        <v>25</v>
      </c>
      <c r="K30" s="91"/>
    </row>
    <row r="31" s="35" customFormat="1" ht="39" customHeight="1" outlineLevel="1" spans="1:11">
      <c r="A31" s="89" t="s">
        <v>49</v>
      </c>
      <c r="B31" s="103" t="s">
        <v>115</v>
      </c>
      <c r="C31" s="91" t="s">
        <v>116</v>
      </c>
      <c r="D31" s="92" t="s">
        <v>117</v>
      </c>
      <c r="E31" s="93"/>
      <c r="F31" s="93"/>
      <c r="G31" s="94"/>
      <c r="H31" s="95" t="s">
        <v>118</v>
      </c>
      <c r="I31" s="102" t="s">
        <v>89</v>
      </c>
      <c r="J31" s="91" t="s">
        <v>25</v>
      </c>
      <c r="K31" s="91"/>
    </row>
    <row r="32" s="35" customFormat="1" ht="64" customHeight="1" outlineLevel="1" spans="1:11">
      <c r="A32" s="89" t="s">
        <v>54</v>
      </c>
      <c r="B32" s="103" t="s">
        <v>119</v>
      </c>
      <c r="C32" s="91" t="s">
        <v>120</v>
      </c>
      <c r="D32" s="92" t="s">
        <v>121</v>
      </c>
      <c r="E32" s="93"/>
      <c r="F32" s="93"/>
      <c r="G32" s="94"/>
      <c r="H32" s="95" t="s">
        <v>122</v>
      </c>
      <c r="I32" s="102" t="s">
        <v>89</v>
      </c>
      <c r="J32" s="91" t="s">
        <v>25</v>
      </c>
      <c r="K32" s="91"/>
    </row>
    <row r="33" s="35" customFormat="1" ht="54" customHeight="1" outlineLevel="1" spans="1:11">
      <c r="A33" s="89" t="s">
        <v>59</v>
      </c>
      <c r="B33" s="103" t="s">
        <v>123</v>
      </c>
      <c r="C33" s="91" t="s">
        <v>116</v>
      </c>
      <c r="D33" s="92" t="s">
        <v>117</v>
      </c>
      <c r="E33" s="93"/>
      <c r="F33" s="93"/>
      <c r="G33" s="94"/>
      <c r="H33" s="97" t="s">
        <v>124</v>
      </c>
      <c r="I33" s="102" t="s">
        <v>89</v>
      </c>
      <c r="J33" s="91" t="s">
        <v>25</v>
      </c>
      <c r="K33" s="91"/>
    </row>
    <row r="34" s="35" customFormat="1" ht="54" customHeight="1" outlineLevel="1" spans="1:11">
      <c r="A34" s="89" t="s">
        <v>64</v>
      </c>
      <c r="B34" s="103" t="s">
        <v>125</v>
      </c>
      <c r="C34" s="91" t="s">
        <v>126</v>
      </c>
      <c r="D34" s="92" t="s">
        <v>121</v>
      </c>
      <c r="E34" s="93"/>
      <c r="F34" s="93"/>
      <c r="G34" s="94"/>
      <c r="H34" s="97" t="s">
        <v>127</v>
      </c>
      <c r="I34" s="102" t="s">
        <v>89</v>
      </c>
      <c r="J34" s="91" t="s">
        <v>25</v>
      </c>
      <c r="K34" s="91"/>
    </row>
    <row r="35" s="35" customFormat="1" ht="54" customHeight="1" outlineLevel="1" spans="1:11">
      <c r="A35" s="89" t="s">
        <v>69</v>
      </c>
      <c r="B35" s="103" t="s">
        <v>128</v>
      </c>
      <c r="C35" s="91" t="s">
        <v>129</v>
      </c>
      <c r="D35" s="92" t="s">
        <v>130</v>
      </c>
      <c r="E35" s="93"/>
      <c r="F35" s="93"/>
      <c r="G35" s="94"/>
      <c r="H35" s="97" t="s">
        <v>131</v>
      </c>
      <c r="I35" s="102" t="s">
        <v>89</v>
      </c>
      <c r="J35" s="91" t="s">
        <v>25</v>
      </c>
      <c r="K35" s="91"/>
    </row>
    <row r="36" s="35" customFormat="1" ht="54" customHeight="1" outlineLevel="1" spans="1:11">
      <c r="A36" s="89" t="s">
        <v>74</v>
      </c>
      <c r="B36" s="103" t="s">
        <v>132</v>
      </c>
      <c r="C36" s="91" t="s">
        <v>133</v>
      </c>
      <c r="D36" s="92" t="s">
        <v>134</v>
      </c>
      <c r="E36" s="93"/>
      <c r="F36" s="93"/>
      <c r="G36" s="94"/>
      <c r="H36" s="97" t="s">
        <v>135</v>
      </c>
      <c r="I36" s="102" t="s">
        <v>89</v>
      </c>
      <c r="J36" s="91" t="s">
        <v>25</v>
      </c>
      <c r="K36" s="91"/>
    </row>
    <row r="37" s="35" customFormat="1" ht="54" customHeight="1" outlineLevel="1" spans="1:11">
      <c r="A37" s="89" t="s">
        <v>79</v>
      </c>
      <c r="B37" s="103" t="s">
        <v>136</v>
      </c>
      <c r="C37" s="91" t="s">
        <v>112</v>
      </c>
      <c r="D37" s="92" t="s">
        <v>130</v>
      </c>
      <c r="E37" s="93"/>
      <c r="F37" s="93"/>
      <c r="G37" s="94"/>
      <c r="H37" s="95" t="s">
        <v>137</v>
      </c>
      <c r="I37" s="102" t="s">
        <v>89</v>
      </c>
      <c r="J37" s="91" t="s">
        <v>25</v>
      </c>
      <c r="K37" s="91"/>
    </row>
    <row r="38" s="35" customFormat="1" ht="12.5" outlineLevel="1" spans="1:11">
      <c r="A38" s="98" t="s">
        <v>138</v>
      </c>
      <c r="B38" s="99"/>
      <c r="C38" s="99"/>
      <c r="D38" s="87"/>
      <c r="E38" s="87"/>
      <c r="F38" s="87"/>
      <c r="G38" s="87"/>
      <c r="H38" s="87"/>
      <c r="I38" s="87"/>
      <c r="J38" s="87"/>
      <c r="K38" s="88"/>
    </row>
    <row r="39" s="35" customFormat="1" ht="33" customHeight="1" outlineLevel="1" spans="1:11">
      <c r="A39" s="89" t="s">
        <v>38</v>
      </c>
      <c r="B39" s="103" t="s">
        <v>139</v>
      </c>
      <c r="C39" s="91" t="s">
        <v>140</v>
      </c>
      <c r="D39" s="92" t="s">
        <v>141</v>
      </c>
      <c r="E39" s="93"/>
      <c r="F39" s="93"/>
      <c r="G39" s="94"/>
      <c r="H39" s="97" t="s">
        <v>142</v>
      </c>
      <c r="I39" s="102" t="s">
        <v>89</v>
      </c>
      <c r="J39" s="91" t="s">
        <v>25</v>
      </c>
      <c r="K39" s="91"/>
    </row>
    <row r="40" s="35" customFormat="1" ht="63.75" customHeight="1" outlineLevel="1" spans="1:11">
      <c r="A40" s="89" t="s">
        <v>44</v>
      </c>
      <c r="B40" s="103" t="s">
        <v>143</v>
      </c>
      <c r="C40" s="91" t="s">
        <v>144</v>
      </c>
      <c r="D40" s="104" t="s">
        <v>130</v>
      </c>
      <c r="E40" s="105"/>
      <c r="F40" s="105"/>
      <c r="G40" s="94"/>
      <c r="H40" s="97" t="s">
        <v>145</v>
      </c>
      <c r="I40" s="102" t="s">
        <v>146</v>
      </c>
      <c r="J40" s="91" t="s">
        <v>25</v>
      </c>
      <c r="K40" s="91"/>
    </row>
    <row r="41" s="35" customFormat="1" ht="63.75" customHeight="1" outlineLevel="1" spans="1:11">
      <c r="A41" s="89" t="s">
        <v>49</v>
      </c>
      <c r="B41" s="103" t="s">
        <v>147</v>
      </c>
      <c r="C41" s="91" t="s">
        <v>148</v>
      </c>
      <c r="D41" s="92" t="s">
        <v>149</v>
      </c>
      <c r="E41" s="93"/>
      <c r="F41" s="93"/>
      <c r="G41" s="94"/>
      <c r="H41" s="95" t="s">
        <v>150</v>
      </c>
      <c r="I41" s="102" t="s">
        <v>146</v>
      </c>
      <c r="J41" s="91" t="s">
        <v>25</v>
      </c>
      <c r="K41" s="91"/>
    </row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</sheetData>
  <mergeCells count="46">
    <mergeCell ref="B3:D3"/>
    <mergeCell ref="I3:K3"/>
    <mergeCell ref="B4:D4"/>
    <mergeCell ref="I4:K4"/>
    <mergeCell ref="B5:D5"/>
    <mergeCell ref="I5:K5"/>
    <mergeCell ref="I6:K6"/>
    <mergeCell ref="I7:K7"/>
    <mergeCell ref="A8:D8"/>
    <mergeCell ref="A11:K11"/>
    <mergeCell ref="A12:K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3:F23"/>
    <mergeCell ref="D24:F24"/>
    <mergeCell ref="D25:F25"/>
    <mergeCell ref="D26:F26"/>
    <mergeCell ref="D27:F27"/>
    <mergeCell ref="D29:F29"/>
    <mergeCell ref="D30:F30"/>
    <mergeCell ref="D31:F31"/>
    <mergeCell ref="D32:F32"/>
    <mergeCell ref="D33:F33"/>
    <mergeCell ref="D34:F34"/>
    <mergeCell ref="D35:F35"/>
    <mergeCell ref="D36:F36"/>
    <mergeCell ref="D37:F37"/>
    <mergeCell ref="D39:F39"/>
    <mergeCell ref="D40:F40"/>
    <mergeCell ref="D41:F41"/>
    <mergeCell ref="A9:A10"/>
    <mergeCell ref="B9:B10"/>
    <mergeCell ref="C9:C10"/>
    <mergeCell ref="H9:H10"/>
    <mergeCell ref="I9:I10"/>
    <mergeCell ref="J9:J10"/>
    <mergeCell ref="K9:K10"/>
    <mergeCell ref="B1:D2"/>
    <mergeCell ref="D9:G10"/>
  </mergeCells>
  <hyperlinks>
    <hyperlink ref="H29" r:id="rId1" display="https://drive.google.com/file/d/1gumPUHQBLb1jIHBCZ5zPISjpcIOSB2lk/view?usp=drive_link"/>
    <hyperlink ref="H30" r:id="rId2" display="https://drive.google.com/file/d/1YxMoTTiECsI_tBz-761YVEUxJUHXLvsx/view?usp=drive_link"/>
    <hyperlink ref="H31" r:id="rId3" display="https://drive.google.com/file/d/1niwQDdoWN2MRGoG8EWSAIo20_OzsVkOY/view?usp=drive_link"/>
    <hyperlink ref="H32" r:id="rId4" display="https://drive.google.com/file/d/1VbLmz5roaIuW_SLEpx1WfNPwx5AYmqzt/view?usp=drive_link&#10;https://drive.google.com/file/d/1MpEQMnfRMP_O7Ixg5DrLd2hcIo3qdleg/view?usp=drive_link&#10;https://drive.google.com/file/d/1j5tT9qElGB1UZ1SQzGBRlT8Q0ykBOyTD/view?usp=drive_link&#10;https://drive.google.com/file/d/1UYU_ltki90iHeFGBh5ItJQ3bsp6WQ6nJ/view?usp=drive_link"/>
    <hyperlink ref="H33" r:id="rId5" display="https://drive.google.com/file/d/1q9UY_TfuHmCtTCltBM9FxPoMnY5xwH-w/view?usp=drive_link&#10;https://drive.google.com/file/d/1lhR2KcZwl7anMFNpnvhDLuuYcT0xbw2A/view?usp=drive_link"/>
    <hyperlink ref="H34" r:id="rId6" display="https://drive.google.com/file/d/1sC7uoWduAGtV798fP10EkN3y1evFWiuw/view?usp=drive_link&#10;https://drive.google.com/file/d/1TMqVtufSIQMXHSppur3ho42wBrFs2H5c/view?usp=drive_link"/>
    <hyperlink ref="H35" r:id="rId7" display="https://drive.google.com/file/d/1NuH-hF1lRdO4lGz5uBX4Jf4WNxfiL1zS/view?usp=drive_link&#10;https://drive.google.com/file/d/1kd5a658_J2GMNk3F8eHi7psbOAhiUv3M/view?usp=drive_link"/>
    <hyperlink ref="H36" r:id="rId8" display="https://drive.google.com/file/d/1HUYRVMPIXtkJuuGPz-BhJzODsbAZ_rny/view?usp=drive_link&#10;https://drive.google.com/file/d/1CjTzUTDgxi4qOmunowfdAtjsSZ4-u2Ez/view?usp=drive_link" tooltip="https://drive.google.com/file/d/1HUYRVMPIXtkJuuGPz-BhJzODsbAZ_rny/view?usp=drive_link&#10;"/>
    <hyperlink ref="H37" r:id="rId9" display="https://drive.google.com/file/d/1G-32WKdcFfLUA3Qk6Apts87UDTQTKwIt/view?usp=drive_link&#10;https://drive.google.com/file/d/1mnExH_haaNT9FVDtHuagJ7XP6-dxYB6q/view?usp=drive_link"/>
    <hyperlink ref="H41" r:id="rId10" display="https://drive.google.com/file/d/1XJbuS6EqFzK0sjIHk-xN0SebkRtdl60S/view?usp=drive_link&#10;https://drive.google.com/file/d/1pUw-qLGqs_L061MHcZvOqhofyeynz8ZM/view?usp=drive_link&#10;https://drive.google.com/file/d/14rn2BncN2PfZ8IZwZHWyKS-IwWEa0kWj/view?usp=drive_link&#10;https://drive.google.com/file/d/1uR3RmYMB_xFNaaAm0jm8dlR_GdvOgGD9/view?usp=drive_link"/>
    <hyperlink ref="H39" r:id="rId11" display="https://drive.google.com/file/d/18sZ2vd6dYr7e3CG3oArjQHlB0xO-bk0B/view?usp=drive_link"/>
    <hyperlink ref="H40" r:id="rId12" display="https://drive.google.com/file/d/1vLbyAL-HJxN9APoBnFixaED75UrkKheT/view?usp=drive_link&#10;https://drive.google.com/file/d/17yK0_9X0iQq8WZcUnpmFInskMXQWjC7C/view?usp=drive_link"/>
  </hyperlinks>
  <pageMargins left="0.75" right="0.75" top="1" bottom="1" header="0.5" footer="0.5"/>
  <pageSetup paperSize="1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G14" sqref="G14"/>
    </sheetView>
  </sheetViews>
  <sheetFormatPr defaultColWidth="8.83636363636364" defaultRowHeight="13" outlineLevelCol="6"/>
  <cols>
    <col min="3" max="3" width="22.8363636363636" customWidth="1"/>
    <col min="7" max="7" width="18.8363636363636" customWidth="1"/>
  </cols>
  <sheetData>
    <row r="1" ht="22" spans="1:7">
      <c r="A1" s="2" t="s">
        <v>151</v>
      </c>
      <c r="B1" s="3"/>
      <c r="C1" s="4"/>
      <c r="D1" s="4"/>
      <c r="E1" s="4"/>
      <c r="F1" s="4"/>
      <c r="G1" s="5"/>
    </row>
    <row r="2" ht="14.25" customHeight="1" spans="1:7">
      <c r="A2" s="2"/>
      <c r="B2" s="3"/>
      <c r="C2" s="4"/>
      <c r="D2" s="4"/>
      <c r="E2" s="4"/>
      <c r="F2" s="4"/>
      <c r="G2" s="5"/>
    </row>
    <row r="3" spans="1:7">
      <c r="B3" s="6" t="s">
        <v>152</v>
      </c>
      <c r="C3" s="4"/>
      <c r="D3" s="4"/>
      <c r="E3" s="4"/>
      <c r="F3" s="4"/>
      <c r="G3" s="5"/>
    </row>
    <row r="4" spans="1:7">
      <c r="B4" s="6" t="s">
        <v>153</v>
      </c>
      <c r="C4" s="7"/>
      <c r="D4" s="6"/>
      <c r="E4" s="6"/>
      <c r="F4" s="6"/>
      <c r="G4" s="6"/>
    </row>
    <row r="5" spans="1:7">
      <c r="A5" s="6"/>
      <c r="B5" s="6"/>
      <c r="C5" s="6"/>
      <c r="D5" s="6"/>
      <c r="E5" s="6"/>
      <c r="F5" s="6"/>
      <c r="G5" s="6"/>
    </row>
    <row r="6" spans="1:7">
      <c r="A6" s="6"/>
      <c r="B6" s="6"/>
      <c r="C6" s="6"/>
      <c r="D6" s="6"/>
      <c r="E6" s="6"/>
      <c r="F6" s="6"/>
      <c r="G6" s="6"/>
    </row>
    <row r="7" ht="25" spans="1:7">
      <c r="A7" s="6"/>
      <c r="B7" s="8" t="s">
        <v>154</v>
      </c>
      <c r="C7" s="9" t="s">
        <v>155</v>
      </c>
      <c r="D7" s="10" t="s">
        <v>25</v>
      </c>
      <c r="E7" s="9" t="s">
        <v>27</v>
      </c>
      <c r="F7" s="9" t="s">
        <v>26</v>
      </c>
      <c r="G7" s="11" t="s">
        <v>156</v>
      </c>
    </row>
    <row r="8" s="1" customFormat="1" spans="1:7">
      <c r="A8" s="12"/>
      <c r="B8" s="13">
        <v>1</v>
      </c>
      <c r="C8" s="14" t="str">
        <f>'Account Management'!B4</f>
        <v>CR100 - Export to excel</v>
      </c>
      <c r="D8" s="15">
        <f>'Account Management'!B6</f>
        <v>26</v>
      </c>
      <c r="E8" s="14">
        <f>'Account Management'!B7</f>
        <v>0</v>
      </c>
      <c r="F8" s="14">
        <f>'Account Management'!D6</f>
        <v>0</v>
      </c>
      <c r="G8" s="15">
        <f>'Account Management'!D7</f>
        <v>26</v>
      </c>
    </row>
    <row r="9" spans="1:7">
      <c r="A9" s="6"/>
      <c r="B9" s="16"/>
      <c r="C9" s="17"/>
      <c r="D9" s="18"/>
      <c r="E9" s="19"/>
      <c r="F9" s="19"/>
      <c r="G9" s="20"/>
    </row>
    <row r="10" spans="1:7">
      <c r="A10" s="6"/>
      <c r="B10" s="21"/>
      <c r="C10" s="22" t="s">
        <v>157</v>
      </c>
      <c r="D10" s="23">
        <f>SUM(D6:D9)</f>
        <v>26</v>
      </c>
      <c r="E10" s="23">
        <f>SUM(E6:E9)</f>
        <v>0</v>
      </c>
      <c r="F10" s="23">
        <f>SUM(F6:F9)</f>
        <v>0</v>
      </c>
      <c r="G10" s="24">
        <f>SUM(G6:G9)</f>
        <v>26</v>
      </c>
    </row>
    <row r="11" spans="1:7">
      <c r="A11" s="6"/>
      <c r="B11" s="25"/>
      <c r="C11" s="6"/>
      <c r="D11" s="26"/>
      <c r="E11" s="27"/>
      <c r="F11" s="27"/>
      <c r="G11" s="27"/>
    </row>
    <row r="12" spans="1:7">
      <c r="A12" s="6"/>
      <c r="B12" s="6"/>
      <c r="C12" s="6" t="s">
        <v>158</v>
      </c>
      <c r="D12" s="6"/>
      <c r="E12" s="28">
        <f>(D10+E10)*100/G10</f>
        <v>100</v>
      </c>
      <c r="F12" s="6" t="s">
        <v>159</v>
      </c>
      <c r="G12" s="29"/>
    </row>
    <row r="13" spans="1:7">
      <c r="A13" s="6"/>
      <c r="B13" s="6"/>
      <c r="C13" s="6" t="s">
        <v>160</v>
      </c>
      <c r="D13" s="6"/>
      <c r="E13" s="28">
        <f>D10*100/G10</f>
        <v>100</v>
      </c>
      <c r="F13" s="6" t="s">
        <v>159</v>
      </c>
      <c r="G13" s="29"/>
    </row>
  </sheetData>
  <pageMargins left="0.75" right="0.75" top="1" bottom="1" header="0.5" footer="0.5"/>
  <pageSetup paperSize="1" orientation="landscape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Cover</vt:lpstr>
      <vt:lpstr>Account Management</vt:lpstr>
      <vt:lpstr>Test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Hồ Đạt</cp:lastModifiedBy>
  <dcterms:created xsi:type="dcterms:W3CDTF">2002-07-27T17:17:00Z</dcterms:created>
  <cp:lastPrinted>2006-08-02T10:15:00Z</cp:lastPrinted>
  <dcterms:modified xsi:type="dcterms:W3CDTF">2026-04-26T23:57:01Z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E611F2003FF24B6DA68E4097678C9125_12</vt:lpwstr>
  </property>
  <property fmtid="{D5CDD505-2E9C-101B-9397-08002B2CF9AE}" pid="4" name="KSOProductBuildVer">
    <vt:lpwstr>1033-12.1.0.25242</vt:lpwstr>
  </property>
  <property fmtid="{D5CDD505-2E9C-101B-9397-08002B2CF9AE}" pid="5" name="CalculationRule">
    <vt:i4>0</vt:i4>
  </property>
</Properties>
</file>